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imelineCaches/timelineCache1.xml" ContentType="application/vnd.ms-excel.timeline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imelines/timeline1.xml" ContentType="application/vnd.ms-excel.timeline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rya Purohit\OneDrive\Desktop\EXCEL\ASSESMENT\"/>
    </mc:Choice>
  </mc:AlternateContent>
  <xr:revisionPtr revIDLastSave="0" documentId="13_ncr:1_{C9EC2FDA-BC75-4C58-91DB-8E8BA4C886C0}" xr6:coauthVersionLast="47" xr6:coauthVersionMax="47" xr10:uidLastSave="{00000000-0000-0000-0000-000000000000}"/>
  <bookViews>
    <workbookView xWindow="-108" yWindow="-108" windowWidth="23256" windowHeight="12456" activeTab="1" xr2:uid="{C01F4B61-6A93-4C59-BDA8-2830998C5746}"/>
  </bookViews>
  <sheets>
    <sheet name="Table2" sheetId="4" r:id="rId1"/>
    <sheet name="Sheet1" sheetId="3" r:id="rId2"/>
  </sheets>
  <definedNames>
    <definedName name="ExternalData_1" localSheetId="0" hidden="1">Table2!$A$1:$G$49</definedName>
    <definedName name="NativeTimeline_InvoiceDate">#N/A</definedName>
  </definedNames>
  <calcPr calcId="191029"/>
  <pivotCaches>
    <pivotCache cacheId="0" r:id="rId3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4"/>
      </x15:timelineCacheRef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8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Surya Purohit</author>
  </authors>
  <commentList>
    <comment ref="C50" authorId="0" shapeId="0" xr:uid="{13E58FBD-4BB4-4C52-9EA4-4C1C1AF6DAF8}">
      <text>
        <r>
          <rPr>
            <b/>
            <sz val="9"/>
            <color indexed="81"/>
            <rFont val="Tahoma"/>
            <charset val="1"/>
          </rPr>
          <t>Surya Purohit: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81491AA-0BEB-40B7-9990-B782AD311808}" keepAlive="1" name="Query - Table2" description="Connection to the 'Table2' query in the workbook." type="5" refreshedVersion="8" background="1" saveData="1">
    <dbPr connection="Provider=Microsoft.Mashup.OleDb.1;Data Source=$Workbook$;Location=Table2;Extended Properties=&quot;&quot;" command="SELECT * FROM [Table2]"/>
  </connection>
</connections>
</file>

<file path=xl/sharedStrings.xml><?xml version="1.0" encoding="utf-8"?>
<sst xmlns="http://schemas.openxmlformats.org/spreadsheetml/2006/main" count="469" uniqueCount="164">
  <si>
    <t>Quantity</t>
  </si>
  <si>
    <t>InvoiceDate</t>
  </si>
  <si>
    <t>Price</t>
  </si>
  <si>
    <t>Country</t>
  </si>
  <si>
    <t>United Kingdom</t>
  </si>
  <si>
    <t>Germany</t>
  </si>
  <si>
    <t>France</t>
  </si>
  <si>
    <t>Spain</t>
  </si>
  <si>
    <t>Italy</t>
  </si>
  <si>
    <t>USA</t>
  </si>
  <si>
    <t>StockCode</t>
  </si>
  <si>
    <t>Description</t>
  </si>
  <si>
    <t>??</t>
  </si>
  <si>
    <t>CustomerID</t>
  </si>
  <si>
    <t>A123</t>
  </si>
  <si>
    <t>Red T-shirt</t>
  </si>
  <si>
    <t>C001</t>
  </si>
  <si>
    <t>B456</t>
  </si>
  <si>
    <t>Blue Jeans</t>
  </si>
  <si>
    <t>C002</t>
  </si>
  <si>
    <t>C789</t>
  </si>
  <si>
    <t>Green Hat</t>
  </si>
  <si>
    <t>NaN</t>
  </si>
  <si>
    <t>C003</t>
  </si>
  <si>
    <t>D012</t>
  </si>
  <si>
    <t>Yellow Socks</t>
  </si>
  <si>
    <t>C004</t>
  </si>
  <si>
    <t>GERMANY</t>
  </si>
  <si>
    <t>E345</t>
  </si>
  <si>
    <t>Black Shoes</t>
  </si>
  <si>
    <t>C005</t>
  </si>
  <si>
    <t>F678</t>
  </si>
  <si>
    <t>White Shirt</t>
  </si>
  <si>
    <t>C006</t>
  </si>
  <si>
    <t>G901</t>
  </si>
  <si>
    <t>Leather Belt</t>
  </si>
  <si>
    <t>C007</t>
  </si>
  <si>
    <t>H234</t>
  </si>
  <si>
    <t>Winter Jacket</t>
  </si>
  <si>
    <t>C008</t>
  </si>
  <si>
    <t>I567</t>
  </si>
  <si>
    <t>Scarf</t>
  </si>
  <si>
    <t>C009</t>
  </si>
  <si>
    <t>J890</t>
  </si>
  <si>
    <t>Gloves</t>
  </si>
  <si>
    <t>C010</t>
  </si>
  <si>
    <t>K111</t>
  </si>
  <si>
    <t>Blue T-shirt</t>
  </si>
  <si>
    <t>C011</t>
  </si>
  <si>
    <t>us</t>
  </si>
  <si>
    <t>L222</t>
  </si>
  <si>
    <t>Red Dress</t>
  </si>
  <si>
    <t>C012</t>
  </si>
  <si>
    <t>United Kngdom</t>
  </si>
  <si>
    <t>M333</t>
  </si>
  <si>
    <t>Green Shorts</t>
  </si>
  <si>
    <t>C013</t>
  </si>
  <si>
    <t>N444</t>
  </si>
  <si>
    <t>Black Hat</t>
  </si>
  <si>
    <t>C014</t>
  </si>
  <si>
    <t>O555</t>
  </si>
  <si>
    <t>White Socks</t>
  </si>
  <si>
    <t>C015</t>
  </si>
  <si>
    <t>P666</t>
  </si>
  <si>
    <t>Leather Shoes</t>
  </si>
  <si>
    <t>C016</t>
  </si>
  <si>
    <t>Q777</t>
  </si>
  <si>
    <t>Winter Coat</t>
  </si>
  <si>
    <t>C017</t>
  </si>
  <si>
    <t>U.K.</t>
  </si>
  <si>
    <t>R888</t>
  </si>
  <si>
    <t>C018</t>
  </si>
  <si>
    <t>S999</t>
  </si>
  <si>
    <t>12.00USD</t>
  </si>
  <si>
    <t>C019</t>
  </si>
  <si>
    <t>T101</t>
  </si>
  <si>
    <t>Red Shirt</t>
  </si>
  <si>
    <t>C020</t>
  </si>
  <si>
    <t>U202</t>
  </si>
  <si>
    <t>C021</t>
  </si>
  <si>
    <t>V303</t>
  </si>
  <si>
    <t>C022</t>
  </si>
  <si>
    <t>W404</t>
  </si>
  <si>
    <t>C023</t>
  </si>
  <si>
    <t>X505</t>
  </si>
  <si>
    <t>C024</t>
  </si>
  <si>
    <t>Y606</t>
  </si>
  <si>
    <t>C025</t>
  </si>
  <si>
    <t>Z707</t>
  </si>
  <si>
    <t>C026</t>
  </si>
  <si>
    <t>A808</t>
  </si>
  <si>
    <t>C027</t>
  </si>
  <si>
    <t>B909</t>
  </si>
  <si>
    <t>C028</t>
  </si>
  <si>
    <t>C029</t>
  </si>
  <si>
    <t>D111</t>
  </si>
  <si>
    <t>C030</t>
  </si>
  <si>
    <t>E222</t>
  </si>
  <si>
    <t>C031</t>
  </si>
  <si>
    <t>F333</t>
  </si>
  <si>
    <t>C032</t>
  </si>
  <si>
    <t>G444</t>
  </si>
  <si>
    <t>C033</t>
  </si>
  <si>
    <t>H555</t>
  </si>
  <si>
    <t>C034</t>
  </si>
  <si>
    <t>I666</t>
  </si>
  <si>
    <t>C035</t>
  </si>
  <si>
    <t>J777</t>
  </si>
  <si>
    <t>C036</t>
  </si>
  <si>
    <t>K888</t>
  </si>
  <si>
    <t>C037</t>
  </si>
  <si>
    <t>L999</t>
  </si>
  <si>
    <t>C038</t>
  </si>
  <si>
    <t>M101</t>
  </si>
  <si>
    <t>C039</t>
  </si>
  <si>
    <t>N202</t>
  </si>
  <si>
    <t>C040</t>
  </si>
  <si>
    <t>O303</t>
  </si>
  <si>
    <t>C041</t>
  </si>
  <si>
    <t>P404</t>
  </si>
  <si>
    <t>C042</t>
  </si>
  <si>
    <t>Q505</t>
  </si>
  <si>
    <t>C043</t>
  </si>
  <si>
    <t>R606</t>
  </si>
  <si>
    <t>C044</t>
  </si>
  <si>
    <t>S707</t>
  </si>
  <si>
    <t>C045</t>
  </si>
  <si>
    <t>T808</t>
  </si>
  <si>
    <t>C046</t>
  </si>
  <si>
    <t>U909</t>
  </si>
  <si>
    <t>C047</t>
  </si>
  <si>
    <t>V010</t>
  </si>
  <si>
    <t>C048</t>
  </si>
  <si>
    <t>ty</t>
  </si>
  <si>
    <t>Average of Price</t>
  </si>
  <si>
    <t>Row Labels</t>
  </si>
  <si>
    <t>Grand Total</t>
  </si>
  <si>
    <t>2018</t>
  </si>
  <si>
    <t>2019</t>
  </si>
  <si>
    <t>2020</t>
  </si>
  <si>
    <t>2021</t>
  </si>
  <si>
    <t>2022</t>
  </si>
  <si>
    <t>2023</t>
  </si>
  <si>
    <t>2024</t>
  </si>
  <si>
    <t>Count of Price</t>
  </si>
  <si>
    <t>VARIANCE</t>
  </si>
  <si>
    <t>Top 2 revenue making product</t>
  </si>
  <si>
    <t>Qtr1</t>
  </si>
  <si>
    <t>Qtr2</t>
  </si>
  <si>
    <t>Qtr3</t>
  </si>
  <si>
    <t>Qtr4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</si>
  <si>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</si>
  <si>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</si>
  <si>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</si>
  <si>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</si>
  <si>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</si>
  <si>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</si>
  <si>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</si>
  <si>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</si>
  <si>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</si>
  <si>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Nov</t>
  </si>
  <si>
    <t>Dec</t>
  </si>
  <si>
    <t>Sum of Price</t>
  </si>
  <si>
    <t>Bottom 2 revenue making 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</si>
</sst>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charset val="134"/>
      <scheme val="minor"/>
    </font>
    <font>
      <b/>
      <sz val="11"/>
      <color theme="1"/>
      <name val="Calibri"/>
      <family val="2"/>
      <charset val="134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 style="double">
        <color theme="9"/>
      </top>
      <bottom style="thin">
        <color theme="9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>
      <alignment vertical="center"/>
    </xf>
    <xf numFmtId="14" fontId="0" fillId="0" borderId="0" xfId="0" applyNumberFormat="1" applyAlignment="1">
      <alignment vertical="center" wrapText="1"/>
    </xf>
    <xf numFmtId="0" fontId="1" fillId="0" borderId="1" xfId="0" applyFont="1" applyBorder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2" borderId="2" xfId="0" applyFill="1" applyBorder="1">
      <alignment vertical="center"/>
    </xf>
    <xf numFmtId="0" fontId="0" fillId="0" borderId="2" xfId="0" applyBorder="1">
      <alignment vertic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4" fillId="0" borderId="2" xfId="0" applyFont="1" applyBorder="1" applyAlignment="1">
      <alignment horizontal="center" vertical="center"/>
    </xf>
  </cellXfs>
  <cellStyles count="1">
    <cellStyle name="Normal" xfId="0" builtinId="0"/>
  </cellStyles>
  <dxfs count="20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34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34"/>
        <scheme val="minor"/>
      </font>
      <alignment horizontal="center" vertical="center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microsoft.com/office/2011/relationships/timelineCache" Target="timelineCaches/timelineCache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[assesment.xlsx]Table2!PivotTable2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Peak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Table2!$U$19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Table2!$T$20:$T$59</c:f>
              <c:multiLvlStrCache>
                <c:ptCount val="18"/>
                <c:lvl>
                  <c:pt idx="0">
                    <c:v>Nov</c:v>
                  </c:pt>
                  <c:pt idx="1">
                    <c:v>Dec</c:v>
                  </c:pt>
                  <c:pt idx="2">
                    <c:v>Apr</c:v>
                  </c:pt>
                  <c:pt idx="3">
                    <c:v>May</c:v>
                  </c:pt>
                  <c:pt idx="4">
                    <c:v>Aug</c:v>
                  </c:pt>
                  <c:pt idx="5">
                    <c:v>Sep</c:v>
                  </c:pt>
                  <c:pt idx="6">
                    <c:v>Mar</c:v>
                  </c:pt>
                  <c:pt idx="7">
                    <c:v>Jun</c:v>
                  </c:pt>
                  <c:pt idx="8">
                    <c:v>Jul</c:v>
                  </c:pt>
                  <c:pt idx="9">
                    <c:v>Mar</c:v>
                  </c:pt>
                  <c:pt idx="10">
                    <c:v>Jul</c:v>
                  </c:pt>
                  <c:pt idx="11">
                    <c:v>Aug</c:v>
                  </c:pt>
                  <c:pt idx="12">
                    <c:v>Jan</c:v>
                  </c:pt>
                  <c:pt idx="13">
                    <c:v>Apr</c:v>
                  </c:pt>
                  <c:pt idx="14">
                    <c:v>Nov</c:v>
                  </c:pt>
                  <c:pt idx="15">
                    <c:v>Jan</c:v>
                  </c:pt>
                  <c:pt idx="16">
                    <c:v>Dec</c:v>
                  </c:pt>
                  <c:pt idx="17">
                    <c:v>Feb</c:v>
                  </c:pt>
                </c:lvl>
                <c:lvl>
                  <c:pt idx="0">
                    <c:v>Qtr4</c:v>
                  </c:pt>
                  <c:pt idx="2">
                    <c:v>Qtr2</c:v>
                  </c:pt>
                  <c:pt idx="4">
                    <c:v>Qtr3</c:v>
                  </c:pt>
                  <c:pt idx="6">
                    <c:v>Qtr1</c:v>
                  </c:pt>
                  <c:pt idx="7">
                    <c:v>Qtr2</c:v>
                  </c:pt>
                  <c:pt idx="8">
                    <c:v>Qtr3</c:v>
                  </c:pt>
                  <c:pt idx="9">
                    <c:v>Qtr1</c:v>
                  </c:pt>
                  <c:pt idx="10">
                    <c:v>Qtr3</c:v>
                  </c:pt>
                  <c:pt idx="12">
                    <c:v>Qtr1</c:v>
                  </c:pt>
                  <c:pt idx="13">
                    <c:v>Qtr2</c:v>
                  </c:pt>
                  <c:pt idx="14">
                    <c:v>Qtr4</c:v>
                  </c:pt>
                  <c:pt idx="15">
                    <c:v>Qtr1</c:v>
                  </c:pt>
                  <c:pt idx="16">
                    <c:v>Qtr4</c:v>
                  </c:pt>
                  <c:pt idx="17">
                    <c:v>Qtr1</c:v>
                  </c:pt>
                </c:lvl>
                <c:lvl>
                  <c:pt idx="0">
                    <c:v>2018</c:v>
                  </c:pt>
                  <c:pt idx="2">
                    <c:v>2019</c:v>
                  </c:pt>
                  <c:pt idx="6">
                    <c:v>2020</c:v>
                  </c:pt>
                  <c:pt idx="9">
                    <c:v>2021</c:v>
                  </c:pt>
                  <c:pt idx="12">
                    <c:v>2022</c:v>
                  </c:pt>
                  <c:pt idx="15">
                    <c:v>2023</c:v>
                  </c:pt>
                  <c:pt idx="17">
                    <c:v>2024</c:v>
                  </c:pt>
                </c:lvl>
              </c:multiLvlStrCache>
            </c:multiLvlStrRef>
          </c:cat>
          <c:val>
            <c:numRef>
              <c:f>Table2!$U$20:$U$59</c:f>
              <c:numCache>
                <c:formatCode>General</c:formatCode>
                <c:ptCount val="18"/>
                <c:pt idx="0">
                  <c:v>3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  <c:pt idx="7">
                  <c:v>5</c:v>
                </c:pt>
                <c:pt idx="8">
                  <c:v>3</c:v>
                </c:pt>
                <c:pt idx="9">
                  <c:v>1</c:v>
                </c:pt>
                <c:pt idx="10">
                  <c:v>2</c:v>
                </c:pt>
                <c:pt idx="11">
                  <c:v>2</c:v>
                </c:pt>
                <c:pt idx="12">
                  <c:v>3</c:v>
                </c:pt>
                <c:pt idx="13">
                  <c:v>3</c:v>
                </c:pt>
                <c:pt idx="14">
                  <c:v>2</c:v>
                </c:pt>
                <c:pt idx="15">
                  <c:v>2</c:v>
                </c:pt>
                <c:pt idx="16">
                  <c:v>3</c:v>
                </c:pt>
                <c:pt idx="17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3C-42D1-9169-F6F45E7BB2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3761872"/>
        <c:axId val="1402823312"/>
      </c:lineChart>
      <c:catAx>
        <c:axId val="1423761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2823312"/>
        <c:crosses val="autoZero"/>
        <c:auto val="1"/>
        <c:lblAlgn val="ctr"/>
        <c:lblOffset val="100"/>
        <c:noMultiLvlLbl val="0"/>
      </c:catAx>
      <c:valAx>
        <c:axId val="140282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3761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[assesment.xlsx]Table2!PivotTable3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Table2!$AA$19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Table2!$Z$20:$Z$22</c:f>
              <c:strCache>
                <c:ptCount val="2"/>
                <c:pt idx="0">
                  <c:v>Winter Coat</c:v>
                </c:pt>
                <c:pt idx="1">
                  <c:v>Winter Jacket</c:v>
                </c:pt>
              </c:strCache>
            </c:strRef>
          </c:cat>
          <c:val>
            <c:numRef>
              <c:f>Table2!$AA$20:$AA$22</c:f>
              <c:numCache>
                <c:formatCode>General</c:formatCode>
                <c:ptCount val="2"/>
                <c:pt idx="0">
                  <c:v>300</c:v>
                </c:pt>
                <c:pt idx="1">
                  <c:v>360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94-4F3E-8F57-5C1AEBD367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597215"/>
        <c:axId val="1580706384"/>
      </c:barChart>
      <c:catAx>
        <c:axId val="3597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706384"/>
        <c:crosses val="autoZero"/>
        <c:auto val="1"/>
        <c:lblAlgn val="ctr"/>
        <c:lblOffset val="100"/>
        <c:noMultiLvlLbl val="0"/>
      </c:catAx>
      <c:valAx>
        <c:axId val="1580706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7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[assesment.xlsx]Table2!PivotTable4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Table2!$AA$31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Table2!$Z$32:$Z$34</c:f>
              <c:strCache>
                <c:ptCount val="2"/>
                <c:pt idx="0">
                  <c:v>Red T-shirt</c:v>
                </c:pt>
                <c:pt idx="1">
                  <c:v>White Socks</c:v>
                </c:pt>
              </c:strCache>
            </c:strRef>
          </c:cat>
          <c:val>
            <c:numRef>
              <c:f>Table2!$AA$32:$AA$34</c:f>
              <c:numCache>
                <c:formatCode>General</c:formatCode>
                <c:ptCount val="2"/>
                <c:pt idx="0">
                  <c:v>16</c:v>
                </c:pt>
                <c:pt idx="1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10-4574-9ACB-660289B40E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625519"/>
        <c:axId val="1580690064"/>
      </c:barChart>
      <c:catAx>
        <c:axId val="3625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690064"/>
        <c:crosses val="autoZero"/>
        <c:auto val="1"/>
        <c:lblAlgn val="ctr"/>
        <c:lblOffset val="100"/>
        <c:noMultiLvlLbl val="0"/>
      </c:catAx>
      <c:valAx>
        <c:axId val="1580690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25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205740</xdr:colOff>
      <xdr:row>34</xdr:row>
      <xdr:rowOff>42454</xdr:rowOff>
    </xdr:from>
    <xdr:to>
      <xdr:col>18</xdr:col>
      <xdr:colOff>365760</xdr:colOff>
      <xdr:row>49</xdr:row>
      <xdr:rowOff>42454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2C0AB4-22CC-CDDF-96E8-32AD4C0A8B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365760</xdr:colOff>
      <xdr:row>7</xdr:row>
      <xdr:rowOff>22860</xdr:rowOff>
    </xdr:from>
    <xdr:to>
      <xdr:col>16</xdr:col>
      <xdr:colOff>45720</xdr:colOff>
      <xdr:row>14</xdr:row>
      <xdr:rowOff>114300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5" name="InvoiceDate">
              <a:extLst>
                <a:ext uri="{FF2B5EF4-FFF2-40B4-BE49-F238E27FC236}">
                  <a16:creationId xmlns:a16="http://schemas.microsoft.com/office/drawing/2014/main" id="{C6845E52-1550-EF75-3FBF-89AD9690898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InvoiceD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214360" y="1303020"/>
              <a:ext cx="3337560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  <xdr:twoCellAnchor>
    <xdr:from>
      <xdr:col>27</xdr:col>
      <xdr:colOff>344716</xdr:colOff>
      <xdr:row>5</xdr:row>
      <xdr:rowOff>55639</xdr:rowOff>
    </xdr:from>
    <xdr:to>
      <xdr:col>35</xdr:col>
      <xdr:colOff>78620</xdr:colOff>
      <xdr:row>20</xdr:row>
      <xdr:rowOff>77411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7C5B449-DE90-4693-46EF-E91FA9ECBD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27</xdr:col>
      <xdr:colOff>235858</xdr:colOff>
      <xdr:row>30</xdr:row>
      <xdr:rowOff>140305</xdr:rowOff>
    </xdr:from>
    <xdr:to>
      <xdr:col>34</xdr:col>
      <xdr:colOff>574524</xdr:colOff>
      <xdr:row>45</xdr:row>
      <xdr:rowOff>162076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12A37C6-7C14-7694-1615-BD9B907EC0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rya Purohit" refreshedDate="46270.127099884259" createdVersion="8" refreshedVersion="8" minRefreshableVersion="3" recordCount="48" xr:uid="{DBFBDEDF-554B-4919-9ED2-7C9918E90366}">
  <cacheSource type="worksheet">
    <worksheetSource name="Table2_1"/>
  </cacheSource>
  <cacheFields count="10">
    <cacheField name="StockCode" numFmtId="0">
      <sharedItems/>
    </cacheField>
    <cacheField name="Description" numFmtId="0">
      <sharedItems count="18">
        <s v="Red T-shirt"/>
        <s v="Blue Jeans"/>
        <s v="Green Hat"/>
        <s v="Yellow Socks"/>
        <s v="Black Shoes"/>
        <s v="White Shirt"/>
        <s v="Leather Belt"/>
        <s v="Winter Jacket"/>
        <s v="Scarf"/>
        <s v="Gloves"/>
        <s v="Blue T-shirt"/>
        <s v="Red Dress"/>
        <s v="Green Shorts"/>
        <s v="Black Hat"/>
        <s v="White Socks"/>
        <s v="Leather Shoes"/>
        <s v="Winter Coat"/>
        <s v="Red Shirt"/>
      </sharedItems>
    </cacheField>
    <cacheField name="ty" numFmtId="0">
      <sharedItems containsSemiMixedTypes="0" containsString="0" containsNumber="1" containsInteger="1" minValue="-5" maxValue="30"/>
    </cacheField>
    <cacheField name="InvoiceDate" numFmtId="14">
      <sharedItems containsSemiMixedTypes="0" containsNonDate="0" containsDate="1" containsString="0" minDate="2018-11-30T00:00:00" maxDate="2024-02-29T00:00:00" count="19">
        <d v="2021-03-15T00:00:00"/>
        <d v="2022-04-03T00:00:00"/>
        <d v="2020-07-22T00:00:00"/>
        <d v="2019-08-15T00:00:00"/>
        <d v="2018-11-30T00:00:00"/>
        <d v="2022-01-05T00:00:00"/>
        <d v="2023-12-01T00:00:00"/>
        <d v="2024-02-12T00:00:00"/>
        <d v="2019-05-10T00:00:00"/>
        <d v="2020-06-25T00:00:00"/>
        <d v="2021-07-14T00:00:00"/>
        <d v="2019-09-30T00:00:00"/>
        <d v="2022-11-11T00:00:00"/>
        <d v="2020-03-05T00:00:00"/>
        <d v="2018-12-25T00:00:00"/>
        <d v="2023-01-01T00:00:00"/>
        <d v="2024-02-28T00:00:00"/>
        <d v="2019-04-15T00:00:00"/>
        <d v="2021-08-08T00:00:00"/>
      </sharedItems>
      <fieldGroup par="9"/>
    </cacheField>
    <cacheField name="Price" numFmtId="0">
      <sharedItems containsSemiMixedTypes="0" containsString="0" containsNumber="1" minValue="5" maxValue="150"/>
    </cacheField>
    <cacheField name="CustomerID" numFmtId="0">
      <sharedItems/>
    </cacheField>
    <cacheField name="Country" numFmtId="0">
      <sharedItems/>
    </cacheField>
    <cacheField name="Months (InvoiceDate)" numFmtId="0" databaseField="0">
      <fieldGroup base="3">
        <rangePr groupBy="months" startDate="2018-11-30T00:00:00" endDate="2024-02-29T00:00:00"/>
        <groupItems count="14">
          <s v="&lt;30-11-2018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9-02-2024"/>
        </groupItems>
      </fieldGroup>
    </cacheField>
    <cacheField name="Quarters (InvoiceDate)" numFmtId="0" databaseField="0">
      <fieldGroup base="3">
        <rangePr groupBy="quarters" startDate="2018-11-30T00:00:00" endDate="2024-02-29T00:00:00"/>
        <groupItems count="6">
          <s v="&lt;30-11-2018"/>
          <s v="Qtr1"/>
          <s v="Qtr2"/>
          <s v="Qtr3"/>
          <s v="Qtr4"/>
          <s v="&gt;29-02-2024"/>
        </groupItems>
      </fieldGroup>
    </cacheField>
    <cacheField name="Years (InvoiceDate)" numFmtId="0" databaseField="0">
      <fieldGroup base="3">
        <rangePr groupBy="years" startDate="2018-11-30T00:00:00" endDate="2024-02-29T00:00:00"/>
        <groupItems count="9">
          <s v="&lt;30-11-2018"/>
          <s v="2018"/>
          <s v="2019"/>
          <s v="2020"/>
          <s v="2021"/>
          <s v="2022"/>
          <s v="2023"/>
          <s v="2024"/>
          <s v="&gt;29-02-2024"/>
        </groupItems>
      </fieldGroup>
    </cacheField>
  </cacheFields>
  <extLst>
    <ext xmlns:x14="http://schemas.microsoft.com/office/spreadsheetml/2009/9/main" uri="{725AE2AE-9491-48be-B2B4-4EB974FC3084}">
      <x14:pivotCacheDefinition pivotCacheId="104344033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s v="A123"/>
    <x v="0"/>
    <n v="10"/>
    <x v="0"/>
    <n v="16"/>
    <s v="C001"/>
    <s v="United Kingdom"/>
  </r>
  <r>
    <s v="B456"/>
    <x v="1"/>
    <n v="5"/>
    <x v="1"/>
    <n v="39.5"/>
    <s v="C002"/>
    <s v="USA"/>
  </r>
  <r>
    <s v="C789"/>
    <x v="2"/>
    <n v="9"/>
    <x v="2"/>
    <n v="12"/>
    <s v="C003"/>
    <s v="France"/>
  </r>
  <r>
    <s v="D012"/>
    <x v="3"/>
    <n v="20"/>
    <x v="3"/>
    <n v="5.5"/>
    <s v="C004"/>
    <s v="GERMANY"/>
  </r>
  <r>
    <s v="E345"/>
    <x v="4"/>
    <n v="2"/>
    <x v="4"/>
    <n v="60"/>
    <s v="C005"/>
    <s v="Spain"/>
  </r>
  <r>
    <s v="F678"/>
    <x v="5"/>
    <n v="9"/>
    <x v="5"/>
    <n v="25"/>
    <s v="C006"/>
    <s v="Italy"/>
  </r>
  <r>
    <s v="G901"/>
    <x v="6"/>
    <n v="7"/>
    <x v="6"/>
    <n v="20"/>
    <s v="C007"/>
    <s v="United Kingdom"/>
  </r>
  <r>
    <s v="H234"/>
    <x v="7"/>
    <n v="3"/>
    <x v="7"/>
    <n v="120"/>
    <s v="C008"/>
    <s v="USA"/>
  </r>
  <r>
    <s v="I567"/>
    <x v="8"/>
    <n v="15"/>
    <x v="8"/>
    <n v="8.8000000000000007"/>
    <s v="C009"/>
    <s v="France"/>
  </r>
  <r>
    <s v="J890"/>
    <x v="9"/>
    <n v="10"/>
    <x v="9"/>
    <n v="36.1"/>
    <s v="C010"/>
    <s v="Spain"/>
  </r>
  <r>
    <s v="K111"/>
    <x v="10"/>
    <n v="-5"/>
    <x v="10"/>
    <n v="15"/>
    <s v="C011"/>
    <s v="us"/>
  </r>
  <r>
    <s v="L222"/>
    <x v="11"/>
    <n v="8"/>
    <x v="11"/>
    <n v="45"/>
    <s v="C012"/>
    <s v="United Kngdom"/>
  </r>
  <r>
    <s v="M333"/>
    <x v="12"/>
    <n v="12"/>
    <x v="12"/>
    <n v="22.5"/>
    <s v="C013"/>
    <s v="Italy"/>
  </r>
  <r>
    <s v="N444"/>
    <x v="13"/>
    <n v="9"/>
    <x v="13"/>
    <n v="11"/>
    <s v="C014"/>
    <s v="France"/>
  </r>
  <r>
    <s v="O555"/>
    <x v="14"/>
    <n v="30"/>
    <x v="14"/>
    <n v="5"/>
    <s v="C015"/>
    <s v="Spain"/>
  </r>
  <r>
    <s v="P666"/>
    <x v="15"/>
    <n v="1"/>
    <x v="15"/>
    <n v="80"/>
    <s v="C016"/>
    <s v="GERMANY"/>
  </r>
  <r>
    <s v="Q777"/>
    <x v="16"/>
    <n v="2"/>
    <x v="16"/>
    <n v="150"/>
    <s v="C017"/>
    <s v="U.K."/>
  </r>
  <r>
    <s v="R888"/>
    <x v="8"/>
    <n v="9"/>
    <x v="17"/>
    <n v="8.8000000000000007"/>
    <s v="C018"/>
    <s v="France"/>
  </r>
  <r>
    <s v="S999"/>
    <x v="9"/>
    <n v="10"/>
    <x v="9"/>
    <n v="12"/>
    <s v="C019"/>
    <s v="Spain"/>
  </r>
  <r>
    <s v="T101"/>
    <x v="17"/>
    <n v="9"/>
    <x v="18"/>
    <n v="20"/>
    <s v="C020"/>
    <s v="Italy"/>
  </r>
  <r>
    <s v="U202"/>
    <x v="1"/>
    <n v="5"/>
    <x v="1"/>
    <n v="39.5"/>
    <s v="C021"/>
    <s v="USA"/>
  </r>
  <r>
    <s v="V303"/>
    <x v="2"/>
    <n v="7"/>
    <x v="2"/>
    <n v="12"/>
    <s v="C022"/>
    <s v="France"/>
  </r>
  <r>
    <s v="W404"/>
    <x v="3"/>
    <n v="20"/>
    <x v="3"/>
    <n v="5.5"/>
    <s v="C023"/>
    <s v="GERMANY"/>
  </r>
  <r>
    <s v="X505"/>
    <x v="4"/>
    <n v="2"/>
    <x v="4"/>
    <n v="60"/>
    <s v="C024"/>
    <s v="Spain"/>
  </r>
  <r>
    <s v="Y606"/>
    <x v="5"/>
    <n v="9"/>
    <x v="5"/>
    <n v="25"/>
    <s v="C025"/>
    <s v="Italy"/>
  </r>
  <r>
    <s v="Z707"/>
    <x v="6"/>
    <n v="7"/>
    <x v="6"/>
    <n v="20"/>
    <s v="C026"/>
    <s v="United Kingdom"/>
  </r>
  <r>
    <s v="A808"/>
    <x v="7"/>
    <n v="3"/>
    <x v="7"/>
    <n v="120"/>
    <s v="C027"/>
    <s v="USA"/>
  </r>
  <r>
    <s v="B909"/>
    <x v="8"/>
    <n v="15"/>
    <x v="8"/>
    <n v="8.8000000000000007"/>
    <s v="C028"/>
    <s v="France"/>
  </r>
  <r>
    <s v="C010"/>
    <x v="9"/>
    <n v="10"/>
    <x v="9"/>
    <n v="36.1"/>
    <s v="C029"/>
    <s v="Spain"/>
  </r>
  <r>
    <s v="D111"/>
    <x v="10"/>
    <n v="-5"/>
    <x v="10"/>
    <n v="15"/>
    <s v="C030"/>
    <s v="us"/>
  </r>
  <r>
    <s v="E222"/>
    <x v="11"/>
    <n v="8"/>
    <x v="11"/>
    <n v="45"/>
    <s v="C031"/>
    <s v="United Kngdom"/>
  </r>
  <r>
    <s v="F333"/>
    <x v="12"/>
    <n v="12"/>
    <x v="12"/>
    <n v="22.5"/>
    <s v="C032"/>
    <s v="Italy"/>
  </r>
  <r>
    <s v="G444"/>
    <x v="13"/>
    <n v="9"/>
    <x v="13"/>
    <n v="11"/>
    <s v="C033"/>
    <s v="France"/>
  </r>
  <r>
    <s v="H555"/>
    <x v="14"/>
    <n v="30"/>
    <x v="14"/>
    <n v="5"/>
    <s v="C034"/>
    <s v="Spain"/>
  </r>
  <r>
    <s v="I666"/>
    <x v="15"/>
    <n v="1"/>
    <x v="15"/>
    <n v="80"/>
    <s v="C035"/>
    <s v="GERMANY"/>
  </r>
  <r>
    <s v="J777"/>
    <x v="16"/>
    <n v="2"/>
    <x v="16"/>
    <n v="150"/>
    <s v="C036"/>
    <s v="U.K."/>
  </r>
  <r>
    <s v="K888"/>
    <x v="8"/>
    <n v="9"/>
    <x v="17"/>
    <n v="8.8000000000000007"/>
    <s v="C037"/>
    <s v="France"/>
  </r>
  <r>
    <s v="L999"/>
    <x v="9"/>
    <n v="10"/>
    <x v="9"/>
    <n v="12"/>
    <s v="C038"/>
    <s v="Spain"/>
  </r>
  <r>
    <s v="M101"/>
    <x v="17"/>
    <n v="9"/>
    <x v="18"/>
    <n v="20"/>
    <s v="C039"/>
    <s v="Italy"/>
  </r>
  <r>
    <s v="N202"/>
    <x v="1"/>
    <n v="5"/>
    <x v="1"/>
    <n v="39.5"/>
    <s v="C040"/>
    <s v="USA"/>
  </r>
  <r>
    <s v="O303"/>
    <x v="2"/>
    <n v="7"/>
    <x v="2"/>
    <n v="12"/>
    <s v="C041"/>
    <s v="France"/>
  </r>
  <r>
    <s v="P404"/>
    <x v="3"/>
    <n v="20"/>
    <x v="3"/>
    <n v="5.5"/>
    <s v="C042"/>
    <s v="GERMANY"/>
  </r>
  <r>
    <s v="Q505"/>
    <x v="4"/>
    <n v="2"/>
    <x v="4"/>
    <n v="60"/>
    <s v="C043"/>
    <s v="Spain"/>
  </r>
  <r>
    <s v="R606"/>
    <x v="5"/>
    <n v="9"/>
    <x v="5"/>
    <n v="25"/>
    <s v="C044"/>
    <s v="Italy"/>
  </r>
  <r>
    <s v="S707"/>
    <x v="6"/>
    <n v="7"/>
    <x v="6"/>
    <n v="20"/>
    <s v="C045"/>
    <s v="United Kingdom"/>
  </r>
  <r>
    <s v="T808"/>
    <x v="7"/>
    <n v="3"/>
    <x v="7"/>
    <n v="120"/>
    <s v="C046"/>
    <s v="USA"/>
  </r>
  <r>
    <s v="U909"/>
    <x v="8"/>
    <n v="15"/>
    <x v="8"/>
    <n v="8.8000000000000007"/>
    <s v="C047"/>
    <s v="France"/>
  </r>
  <r>
    <s v="V010"/>
    <x v="9"/>
    <n v="10"/>
    <x v="9"/>
    <n v="36.1"/>
    <s v="C048"/>
    <s v="Spain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486B4E-61EC-4A67-82A8-AA62DAFEB7D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6:T7" firstHeaderRow="1" firstDataRow="1" firstDataCol="0"/>
  <pivotFields count="10">
    <pivotField showAll="0"/>
    <pivotField showAll="0"/>
    <pivotField showAll="0"/>
    <pivotField numFmtId="14" showAll="0">
      <items count="20">
        <item x="4"/>
        <item x="14"/>
        <item x="17"/>
        <item x="8"/>
        <item x="3"/>
        <item x="11"/>
        <item x="13"/>
        <item x="9"/>
        <item x="2"/>
        <item x="0"/>
        <item x="10"/>
        <item x="18"/>
        <item x="5"/>
        <item x="1"/>
        <item x="12"/>
        <item x="15"/>
        <item x="6"/>
        <item x="7"/>
        <item x="16"/>
        <item t="default"/>
      </items>
    </pivotField>
    <pivotField dataField="1"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</pivotFields>
  <rowItems count="1">
    <i/>
  </rowItems>
  <colItems count="1">
    <i/>
  </colItems>
  <dataFields count="1">
    <dataField name="Average of Price" fld="4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74AF44-289B-494F-A9DE-417B73E3685B}" name="PivotTable4" cacheId="0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 chartFormat="8">
  <location ref="Z31:AA34" firstHeaderRow="1" firstDataRow="1" firstDataCol="1"/>
  <pivotFields count="10">
    <pivotField showAll="0"/>
    <pivotField axis="axisRow" showAll="0" measureFilter="1">
      <items count="19">
        <item x="13"/>
        <item x="4"/>
        <item x="1"/>
        <item x="10"/>
        <item x="9"/>
        <item x="2"/>
        <item x="12"/>
        <item x="6"/>
        <item x="15"/>
        <item x="11"/>
        <item x="17"/>
        <item x="0"/>
        <item x="8"/>
        <item x="5"/>
        <item x="14"/>
        <item x="16"/>
        <item x="7"/>
        <item x="3"/>
        <item t="default"/>
      </items>
    </pivotField>
    <pivotField showAll="0"/>
    <pivotField numFmtId="14" showAll="0">
      <items count="20">
        <item x="4"/>
        <item x="14"/>
        <item x="17"/>
        <item x="8"/>
        <item x="3"/>
        <item x="11"/>
        <item x="13"/>
        <item x="9"/>
        <item x="2"/>
        <item x="0"/>
        <item x="10"/>
        <item x="18"/>
        <item x="5"/>
        <item x="1"/>
        <item x="12"/>
        <item x="15"/>
        <item x="6"/>
        <item x="7"/>
        <item x="16"/>
        <item t="default"/>
      </items>
    </pivotField>
    <pivotField dataField="1"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10">
        <item sd="0" x="0"/>
        <item sd="0" x="1"/>
        <item sd="0" x="2"/>
        <item sd="0" x="3"/>
        <item sd="0" x="4"/>
        <item sd="0" x="5"/>
        <item sd="0" x="6"/>
        <item sd="0" x="7"/>
        <item sd="0" x="8"/>
        <item t="default"/>
      </items>
    </pivotField>
  </pivotFields>
  <rowFields count="1">
    <field x="1"/>
  </rowFields>
  <rowItems count="3">
    <i>
      <x v="11"/>
    </i>
    <i>
      <x v="14"/>
    </i>
    <i t="grand">
      <x/>
    </i>
  </rowItems>
  <colItems count="1">
    <i/>
  </colItems>
  <dataFields count="1">
    <dataField name="Sum of Price" fld="4" baseField="1" baseItem="4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3" iMeasureFld="0">
      <autoFilter ref="A1">
        <filterColumn colId="0">
          <top10 top="0" val="2" filterVal="2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E6414B-8893-4475-8F82-EBE377E80714}" name="PivotTable3" cacheId="0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 chartFormat="8">
  <location ref="Z19:AA22" firstHeaderRow="1" firstDataRow="1" firstDataCol="1"/>
  <pivotFields count="10">
    <pivotField showAll="0"/>
    <pivotField axis="axisRow" showAll="0" measureFilter="1">
      <items count="19">
        <item x="13"/>
        <item x="4"/>
        <item x="1"/>
        <item x="10"/>
        <item x="9"/>
        <item x="2"/>
        <item x="12"/>
        <item x="6"/>
        <item x="15"/>
        <item x="11"/>
        <item x="17"/>
        <item x="0"/>
        <item x="8"/>
        <item x="5"/>
        <item x="14"/>
        <item x="16"/>
        <item x="7"/>
        <item x="3"/>
        <item t="default"/>
      </items>
    </pivotField>
    <pivotField showAll="0"/>
    <pivotField numFmtId="14" showAll="0">
      <items count="20">
        <item x="4"/>
        <item x="14"/>
        <item x="17"/>
        <item x="8"/>
        <item x="3"/>
        <item x="11"/>
        <item x="13"/>
        <item x="9"/>
        <item x="2"/>
        <item x="0"/>
        <item x="10"/>
        <item x="18"/>
        <item x="5"/>
        <item x="1"/>
        <item x="12"/>
        <item x="15"/>
        <item x="6"/>
        <item x="7"/>
        <item x="16"/>
        <item t="default"/>
      </items>
    </pivotField>
    <pivotField dataField="1"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10">
        <item sd="0" x="0"/>
        <item sd="0" x="1"/>
        <item sd="0" x="2"/>
        <item sd="0" x="3"/>
        <item sd="0" x="4"/>
        <item sd="0" x="5"/>
        <item sd="0" x="6"/>
        <item sd="0" x="7"/>
        <item sd="0" x="8"/>
        <item t="default"/>
      </items>
    </pivotField>
  </pivotFields>
  <rowFields count="1">
    <field x="1"/>
  </rowFields>
  <rowItems count="3">
    <i>
      <x v="15"/>
    </i>
    <i>
      <x v="16"/>
    </i>
    <i t="grand">
      <x/>
    </i>
  </rowItems>
  <colItems count="1">
    <i/>
  </colItems>
  <dataFields count="1">
    <dataField name="Sum of Price" fld="4" baseField="1" baseItem="4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2" iMeasureFld="0">
      <autoFilter ref="A1">
        <filterColumn colId="0">
          <top10 val="2" filterVal="2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FED437-E7A5-41CE-8A6B-E9655C16D8C9}" name="PivotTable2" cacheId="0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 chartFormat="6">
  <location ref="T19:U59" firstHeaderRow="1" firstDataRow="1" firstDataCol="1"/>
  <pivotFields count="10">
    <pivotField showAll="0"/>
    <pivotField showAll="0"/>
    <pivotField showAll="0"/>
    <pivotField axis="axisRow" numFmtId="14" showAll="0">
      <items count="20">
        <item x="4"/>
        <item x="14"/>
        <item x="17"/>
        <item x="8"/>
        <item x="3"/>
        <item x="11"/>
        <item x="13"/>
        <item x="9"/>
        <item x="2"/>
        <item x="0"/>
        <item x="10"/>
        <item x="18"/>
        <item x="5"/>
        <item x="1"/>
        <item x="12"/>
        <item x="15"/>
        <item x="6"/>
        <item x="7"/>
        <item x="16"/>
        <item t="default"/>
      </items>
    </pivotField>
    <pivotField dataField="1"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x="1"/>
        <item x="2"/>
        <item x="3"/>
        <item x="4"/>
        <item sd="0" x="5"/>
        <item t="default"/>
      </items>
    </pivotField>
    <pivotField axis="axisRow" showAll="0">
      <items count="10">
        <item sd="0" x="0"/>
        <item x="1"/>
        <item x="2"/>
        <item x="3"/>
        <item x="4"/>
        <item x="5"/>
        <item x="6"/>
        <item x="7"/>
        <item sd="0" x="8"/>
        <item t="default"/>
      </items>
    </pivotField>
  </pivotFields>
  <rowFields count="4">
    <field x="9"/>
    <field x="8"/>
    <field x="7"/>
    <field x="3"/>
  </rowFields>
  <rowItems count="40">
    <i>
      <x v="1"/>
    </i>
    <i r="1">
      <x v="4"/>
    </i>
    <i r="2">
      <x v="11"/>
    </i>
    <i r="2">
      <x v="12"/>
    </i>
    <i>
      <x v="2"/>
    </i>
    <i r="1">
      <x v="2"/>
    </i>
    <i r="2">
      <x v="4"/>
    </i>
    <i r="2">
      <x v="5"/>
    </i>
    <i r="1">
      <x v="3"/>
    </i>
    <i r="2">
      <x v="8"/>
    </i>
    <i r="2">
      <x v="9"/>
    </i>
    <i>
      <x v="3"/>
    </i>
    <i r="1">
      <x v="1"/>
    </i>
    <i r="2">
      <x v="3"/>
    </i>
    <i r="1">
      <x v="2"/>
    </i>
    <i r="2">
      <x v="6"/>
    </i>
    <i r="1">
      <x v="3"/>
    </i>
    <i r="2">
      <x v="7"/>
    </i>
    <i>
      <x v="4"/>
    </i>
    <i r="1">
      <x v="1"/>
    </i>
    <i r="2">
      <x v="3"/>
    </i>
    <i r="1">
      <x v="3"/>
    </i>
    <i r="2">
      <x v="7"/>
    </i>
    <i r="2">
      <x v="8"/>
    </i>
    <i>
      <x v="5"/>
    </i>
    <i r="1">
      <x v="1"/>
    </i>
    <i r="2">
      <x v="1"/>
    </i>
    <i r="1">
      <x v="2"/>
    </i>
    <i r="2">
      <x v="4"/>
    </i>
    <i r="1">
      <x v="4"/>
    </i>
    <i r="2">
      <x v="11"/>
    </i>
    <i>
      <x v="6"/>
    </i>
    <i r="1">
      <x v="1"/>
    </i>
    <i r="2">
      <x v="1"/>
    </i>
    <i r="1">
      <x v="4"/>
    </i>
    <i r="2">
      <x v="12"/>
    </i>
    <i>
      <x v="7"/>
    </i>
    <i r="1">
      <x v="1"/>
    </i>
    <i r="2">
      <x v="2"/>
    </i>
    <i t="grand">
      <x/>
    </i>
  </rowItems>
  <colItems count="1">
    <i/>
  </colItems>
  <dataFields count="1">
    <dataField name="Count of Price" fld="4" subtotal="count" baseField="9" baseItem="1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74C639A-EB02-4166-AE87-F9C4E3858DD9}" autoFormatId="16" applyNumberFormats="0" applyBorderFormats="0" applyFontFormats="0" applyPatternFormats="0" applyAlignmentFormats="0" applyWidthHeightFormats="0">
  <queryTableRefresh nextId="9">
    <queryTableFields count="7">
      <queryTableField id="1" name="StockCode" tableColumnId="1"/>
      <queryTableField id="2" name="Description" tableColumnId="2"/>
      <queryTableField id="3" name="Quantity" tableColumnId="3"/>
      <queryTableField id="4" name="InvoiceDate" tableColumnId="4"/>
      <queryTableField id="8" dataBound="0" tableColumnId="8"/>
      <queryTableField id="6" name="CustomerID" tableColumnId="6"/>
      <queryTableField id="7" name="Country" tableColumnId="7"/>
    </queryTableFields>
    <queryTableDeletedFields count="1">
      <deletedField name="Pric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5292F76-3258-4FD4-8FA5-4B4C0990FD5E}" name="Table2_1" displayName="Table2_1" ref="A1:G50" tableType="queryTable" totalsRowCount="1">
  <autoFilter ref="A1:G49" xr:uid="{15292F76-3258-4FD4-8FA5-4B4C0990FD5E}"/>
  <tableColumns count="7">
    <tableColumn id="1" xr3:uid="{934F20CE-3001-4239-A656-22B14823AD40}" uniqueName="1" name="StockCode" queryTableFieldId="1" dataDxfId="19" totalsRowDxfId="18"/>
    <tableColumn id="2" xr3:uid="{2864F61B-D3BF-4929-8941-5EA42573719E}" uniqueName="2" name="Description" queryTableFieldId="2" dataDxfId="17" totalsRowDxfId="16"/>
    <tableColumn id="3" xr3:uid="{A2A7A539-692D-4A8C-9E6F-7173F244751A}" uniqueName="3" name="ty" queryTableFieldId="3"/>
    <tableColumn id="4" xr3:uid="{C3542C18-712C-4326-886D-C8B9D0E8E29D}" uniqueName="4" name="InvoiceDate" queryTableFieldId="4" dataDxfId="15" totalsRowDxfId="14"/>
    <tableColumn id="8" xr3:uid="{C68B811F-570A-4758-803E-2B15DA835AE3}" uniqueName="8" name="Price" queryTableFieldId="8" dataDxfId="13"/>
    <tableColumn id="6" xr3:uid="{F9BA9209-8C3E-4EF3-9CB6-1E0745C2E57C}" uniqueName="6" name="CustomerID" queryTableFieldId="6" dataDxfId="12" totalsRowDxfId="11"/>
    <tableColumn id="7" xr3:uid="{58F8E96C-9737-4D98-A975-2284928A74D9}" uniqueName="7" name="Country" queryTableFieldId="7" dataDxfId="10" totalsRowDxfId="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643A878-C100-4976-9839-278AFF559FDF}" name="Table2" displayName="Table2" ref="A1:G49" totalsRowShown="0" headerRowDxfId="8" dataDxfId="7">
  <autoFilter ref="A1:G49" xr:uid="{B643A878-C100-4976-9839-278AFF559FDF}"/>
  <tableColumns count="7">
    <tableColumn id="1" xr3:uid="{FFD1C14C-13BF-4BD7-B24D-A838EA0C8EEE}" name="StockCode" dataDxfId="6"/>
    <tableColumn id="2" xr3:uid="{EFA6A3C4-8A7C-49B0-B2AF-08031EDA79CC}" name="Description" dataDxfId="5"/>
    <tableColumn id="3" xr3:uid="{131324DA-9E57-44AD-9033-0CAB617FB660}" name="Quantity" dataDxfId="4"/>
    <tableColumn id="4" xr3:uid="{6513BFF8-DE7B-4C69-93AF-DADF247385FA}" name="InvoiceDate" dataDxfId="3"/>
    <tableColumn id="5" xr3:uid="{435C2D3A-B618-41A9-AC3F-AD0C54F0DF4F}" name="Price" dataDxfId="2"/>
    <tableColumn id="6" xr3:uid="{A4D26721-743E-4760-BC64-BDBE4E4CEBA5}" name="CustomerID" dataDxfId="1"/>
    <tableColumn id="7" xr3:uid="{01343199-9A3D-4934-A633-18E4EA892C0F}" name="Countr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InvoiceDate" xr10:uid="{3D4C0316-0C43-49E9-8376-453131204EAC}" sourceName="InvoiceDate">
  <pivotTables>
    <pivotTable tabId="4" name="PivotTable2"/>
    <pivotTable tabId="4" name="PivotTable3"/>
    <pivotTable tabId="4" name="PivotTable4"/>
  </pivotTables>
  <state minimalRefreshVersion="6" lastRefreshVersion="6" pivotCacheId="1043440337" filterType="unknown">
    <bounds startDate="2018-01-01T00:00:00" endDate="2025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InvoiceDate" xr10:uid="{6091070F-D541-4889-9EAB-30F207D23E30}" cache="NativeTimeline_InvoiceDate" caption="InvoiceDate" level="2" selectionLevel="2" scrollPosition="2024-05-19T00:00:00"/>
</timelines>
</file>

<file path=xl/worksheets/_rels/sheet1.xml.rels><?xml version="1.0" encoding="UTF-8" standalone="yes"?>
<Relationships xmlns="http://schemas.openxmlformats.org/package/2006/relationships"><Relationship Id="rId8" Type="http://schemas.microsoft.com/office/2011/relationships/timeline" Target="../timelines/timeline1.xml"/><Relationship Id="rId3" Type="http://schemas.openxmlformats.org/officeDocument/2006/relationships/pivotTable" Target="../pivotTables/pivotTable3.xml"/><Relationship Id="rId7" Type="http://schemas.openxmlformats.org/officeDocument/2006/relationships/table" Target="../tables/table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vmlDrawing" Target="../drawings/vmlDrawing1.v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Relationship Id="rId9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14EF0-325B-4113-829F-FFBB32AFD435}">
  <dimension ref="A1:AA59"/>
  <sheetViews>
    <sheetView zoomScale="70" workbookViewId="0">
      <selection activeCell="T56" sqref="T56"/>
    </sheetView>
  </sheetViews>
  <sheetFormatPr defaultRowHeight="14.4"/>
  <cols>
    <col min="1" max="1" width="12.21875" bestFit="1" customWidth="1"/>
    <col min="2" max="2" width="12.6640625" bestFit="1" customWidth="1"/>
    <col min="3" max="3" width="10.5546875" bestFit="1" customWidth="1"/>
    <col min="4" max="4" width="13.21875" bestFit="1" customWidth="1"/>
    <col min="5" max="5" width="12" customWidth="1"/>
    <col min="6" max="6" width="13.109375" bestFit="1" customWidth="1"/>
    <col min="7" max="7" width="14" bestFit="1" customWidth="1"/>
    <col min="20" max="20" width="12.5546875" bestFit="1" customWidth="1"/>
    <col min="21" max="21" width="12.88671875" bestFit="1" customWidth="1"/>
    <col min="26" max="26" width="14.5546875" bestFit="1" customWidth="1"/>
    <col min="27" max="27" width="27.77734375" customWidth="1"/>
  </cols>
  <sheetData>
    <row r="1" spans="1:20">
      <c r="A1" t="s">
        <v>10</v>
      </c>
      <c r="B1" t="s">
        <v>11</v>
      </c>
      <c r="C1" t="s">
        <v>133</v>
      </c>
      <c r="D1" t="s">
        <v>1</v>
      </c>
      <c r="E1" t="s">
        <v>2</v>
      </c>
      <c r="F1" t="s">
        <v>13</v>
      </c>
      <c r="G1" t="s">
        <v>3</v>
      </c>
    </row>
    <row r="2" spans="1:20">
      <c r="A2" t="s">
        <v>14</v>
      </c>
      <c r="B2" t="s">
        <v>15</v>
      </c>
      <c r="C2">
        <v>10</v>
      </c>
      <c r="D2" s="3">
        <v>44270</v>
      </c>
      <c r="E2">
        <v>16</v>
      </c>
      <c r="F2" t="s">
        <v>16</v>
      </c>
      <c r="G2" t="s">
        <v>4</v>
      </c>
    </row>
    <row r="3" spans="1:20">
      <c r="A3" t="s">
        <v>17</v>
      </c>
      <c r="B3" t="s">
        <v>18</v>
      </c>
      <c r="C3">
        <v>5</v>
      </c>
      <c r="D3" s="3">
        <v>44654</v>
      </c>
      <c r="E3">
        <v>39.5</v>
      </c>
      <c r="F3" t="s">
        <v>19</v>
      </c>
      <c r="G3" t="s">
        <v>9</v>
      </c>
    </row>
    <row r="4" spans="1:20">
      <c r="A4" t="s">
        <v>20</v>
      </c>
      <c r="B4" t="s">
        <v>21</v>
      </c>
      <c r="C4">
        <v>9</v>
      </c>
      <c r="D4" s="3">
        <v>44034</v>
      </c>
      <c r="E4">
        <v>12</v>
      </c>
      <c r="F4" t="s">
        <v>23</v>
      </c>
      <c r="G4" t="s">
        <v>6</v>
      </c>
    </row>
    <row r="5" spans="1:20">
      <c r="A5" t="s">
        <v>24</v>
      </c>
      <c r="B5" t="s">
        <v>25</v>
      </c>
      <c r="C5">
        <v>20</v>
      </c>
      <c r="D5" s="3">
        <v>43692</v>
      </c>
      <c r="E5">
        <v>5.5</v>
      </c>
      <c r="F5" t="s">
        <v>26</v>
      </c>
      <c r="G5" t="s">
        <v>27</v>
      </c>
    </row>
    <row r="6" spans="1:20">
      <c r="A6" t="s">
        <v>28</v>
      </c>
      <c r="B6" t="s">
        <v>29</v>
      </c>
      <c r="C6">
        <v>2</v>
      </c>
      <c r="D6" s="3">
        <v>43434</v>
      </c>
      <c r="E6">
        <v>60</v>
      </c>
      <c r="F6" t="s">
        <v>30</v>
      </c>
      <c r="G6" t="s">
        <v>7</v>
      </c>
      <c r="T6" t="s">
        <v>134</v>
      </c>
    </row>
    <row r="7" spans="1:20">
      <c r="A7" t="s">
        <v>31</v>
      </c>
      <c r="B7" t="s">
        <v>32</v>
      </c>
      <c r="C7">
        <v>9</v>
      </c>
      <c r="D7" s="3">
        <v>44566</v>
      </c>
      <c r="E7">
        <v>25</v>
      </c>
      <c r="F7" t="s">
        <v>33</v>
      </c>
      <c r="G7" t="s">
        <v>8</v>
      </c>
      <c r="T7">
        <v>36.15208333333333</v>
      </c>
    </row>
    <row r="8" spans="1:20">
      <c r="A8" t="s">
        <v>34</v>
      </c>
      <c r="B8" t="s">
        <v>35</v>
      </c>
      <c r="C8">
        <v>7</v>
      </c>
      <c r="D8" s="3">
        <v>45261</v>
      </c>
      <c r="E8">
        <v>20</v>
      </c>
      <c r="F8" t="s">
        <v>36</v>
      </c>
      <c r="G8" t="s">
        <v>4</v>
      </c>
    </row>
    <row r="9" spans="1:20">
      <c r="A9" t="s">
        <v>37</v>
      </c>
      <c r="B9" t="s">
        <v>38</v>
      </c>
      <c r="C9">
        <v>3</v>
      </c>
      <c r="D9" s="3">
        <v>45334</v>
      </c>
      <c r="E9">
        <v>120</v>
      </c>
      <c r="F9" t="s">
        <v>39</v>
      </c>
      <c r="G9" t="s">
        <v>9</v>
      </c>
    </row>
    <row r="10" spans="1:20">
      <c r="A10" t="s">
        <v>40</v>
      </c>
      <c r="B10" t="s">
        <v>41</v>
      </c>
      <c r="C10">
        <v>15</v>
      </c>
      <c r="D10" s="3">
        <v>43595</v>
      </c>
      <c r="E10">
        <v>8.8000000000000007</v>
      </c>
      <c r="F10" t="s">
        <v>42</v>
      </c>
      <c r="G10" t="s">
        <v>6</v>
      </c>
    </row>
    <row r="11" spans="1:20">
      <c r="A11" t="s">
        <v>43</v>
      </c>
      <c r="B11" t="s">
        <v>44</v>
      </c>
      <c r="C11">
        <v>10</v>
      </c>
      <c r="D11" s="3">
        <v>44007</v>
      </c>
      <c r="E11">
        <v>36.1</v>
      </c>
      <c r="F11" t="s">
        <v>45</v>
      </c>
      <c r="G11" t="s">
        <v>7</v>
      </c>
    </row>
    <row r="12" spans="1:20">
      <c r="A12" t="s">
        <v>46</v>
      </c>
      <c r="B12" t="s">
        <v>47</v>
      </c>
      <c r="C12">
        <v>-5</v>
      </c>
      <c r="D12" s="3">
        <v>44391</v>
      </c>
      <c r="E12">
        <v>15</v>
      </c>
      <c r="F12" t="s">
        <v>48</v>
      </c>
      <c r="G12" t="s">
        <v>49</v>
      </c>
    </row>
    <row r="13" spans="1:20">
      <c r="A13" t="s">
        <v>50</v>
      </c>
      <c r="B13" t="s">
        <v>51</v>
      </c>
      <c r="C13">
        <v>8</v>
      </c>
      <c r="D13" s="3">
        <v>43738</v>
      </c>
      <c r="E13">
        <v>45</v>
      </c>
      <c r="F13" t="s">
        <v>52</v>
      </c>
      <c r="G13" t="s">
        <v>53</v>
      </c>
    </row>
    <row r="14" spans="1:20">
      <c r="A14" t="s">
        <v>54</v>
      </c>
      <c r="B14" t="s">
        <v>55</v>
      </c>
      <c r="C14">
        <v>12</v>
      </c>
      <c r="D14" s="3">
        <v>44876</v>
      </c>
      <c r="E14">
        <v>22.5</v>
      </c>
      <c r="F14" t="s">
        <v>56</v>
      </c>
      <c r="G14" t="s">
        <v>8</v>
      </c>
    </row>
    <row r="15" spans="1:20">
      <c r="A15" t="s">
        <v>57</v>
      </c>
      <c r="B15" t="s">
        <v>58</v>
      </c>
      <c r="C15">
        <v>9</v>
      </c>
      <c r="D15" s="3">
        <v>43895</v>
      </c>
      <c r="E15">
        <v>11</v>
      </c>
      <c r="F15" t="s">
        <v>59</v>
      </c>
      <c r="G15" t="s">
        <v>6</v>
      </c>
    </row>
    <row r="16" spans="1:20">
      <c r="A16" t="s">
        <v>60</v>
      </c>
      <c r="B16" t="s">
        <v>61</v>
      </c>
      <c r="C16">
        <v>30</v>
      </c>
      <c r="D16" s="3">
        <v>43459</v>
      </c>
      <c r="E16">
        <v>5</v>
      </c>
      <c r="F16" t="s">
        <v>62</v>
      </c>
      <c r="G16" t="s">
        <v>7</v>
      </c>
    </row>
    <row r="17" spans="1:27">
      <c r="A17" t="s">
        <v>63</v>
      </c>
      <c r="B17" t="s">
        <v>64</v>
      </c>
      <c r="C17">
        <v>1</v>
      </c>
      <c r="D17" s="3">
        <v>44927</v>
      </c>
      <c r="E17">
        <v>80</v>
      </c>
      <c r="F17" t="s">
        <v>65</v>
      </c>
      <c r="G17" t="s">
        <v>5</v>
      </c>
      <c r="Z17" s="12" t="s">
        <v>146</v>
      </c>
      <c r="AA17" s="12"/>
    </row>
    <row r="18" spans="1:27">
      <c r="A18" t="s">
        <v>66</v>
      </c>
      <c r="B18" t="s">
        <v>67</v>
      </c>
      <c r="C18">
        <v>2</v>
      </c>
      <c r="D18" s="3">
        <v>45350</v>
      </c>
      <c r="E18">
        <v>150</v>
      </c>
      <c r="F18" t="s">
        <v>68</v>
      </c>
      <c r="G18" t="s">
        <v>69</v>
      </c>
      <c r="Z18" s="12"/>
      <c r="AA18" s="12"/>
    </row>
    <row r="19" spans="1:27">
      <c r="A19" t="s">
        <v>70</v>
      </c>
      <c r="B19" t="s">
        <v>41</v>
      </c>
      <c r="C19">
        <v>9</v>
      </c>
      <c r="D19" s="3">
        <v>43570</v>
      </c>
      <c r="E19">
        <v>8.8000000000000007</v>
      </c>
      <c r="F19" t="s">
        <v>71</v>
      </c>
      <c r="G19" t="s">
        <v>6</v>
      </c>
      <c r="T19" s="6" t="s">
        <v>135</v>
      </c>
      <c r="U19" t="s">
        <v>144</v>
      </c>
      <c r="Z19" s="6" t="s">
        <v>135</v>
      </c>
      <c r="AA19" t="s">
        <v>162</v>
      </c>
    </row>
    <row r="20" spans="1:27">
      <c r="A20" t="s">
        <v>72</v>
      </c>
      <c r="B20" t="s">
        <v>44</v>
      </c>
      <c r="C20">
        <v>10</v>
      </c>
      <c r="D20" s="3">
        <v>44007</v>
      </c>
      <c r="E20">
        <v>12</v>
      </c>
      <c r="F20" t="s">
        <v>74</v>
      </c>
      <c r="G20" t="s">
        <v>7</v>
      </c>
      <c r="T20" s="7" t="s">
        <v>137</v>
      </c>
      <c r="U20">
        <v>5</v>
      </c>
      <c r="Z20" s="7" t="s">
        <v>67</v>
      </c>
      <c r="AA20">
        <v>300</v>
      </c>
    </row>
    <row r="21" spans="1:27">
      <c r="A21" t="s">
        <v>75</v>
      </c>
      <c r="B21" t="s">
        <v>76</v>
      </c>
      <c r="C21">
        <v>9</v>
      </c>
      <c r="D21" s="3">
        <v>44416</v>
      </c>
      <c r="E21">
        <v>20</v>
      </c>
      <c r="F21" t="s">
        <v>77</v>
      </c>
      <c r="G21" t="s">
        <v>8</v>
      </c>
      <c r="T21" s="10" t="s">
        <v>150</v>
      </c>
      <c r="U21">
        <v>5</v>
      </c>
      <c r="Z21" s="7" t="s">
        <v>38</v>
      </c>
      <c r="AA21">
        <v>360</v>
      </c>
    </row>
    <row r="22" spans="1:27">
      <c r="A22" t="s">
        <v>78</v>
      </c>
      <c r="B22" t="s">
        <v>18</v>
      </c>
      <c r="C22">
        <v>5</v>
      </c>
      <c r="D22" s="3">
        <v>44654</v>
      </c>
      <c r="E22">
        <v>39.5</v>
      </c>
      <c r="F22" t="s">
        <v>79</v>
      </c>
      <c r="G22" t="s">
        <v>9</v>
      </c>
      <c r="T22" s="11" t="s">
        <v>160</v>
      </c>
      <c r="U22">
        <v>3</v>
      </c>
      <c r="Z22" s="7" t="s">
        <v>136</v>
      </c>
      <c r="AA22">
        <v>660</v>
      </c>
    </row>
    <row r="23" spans="1:27">
      <c r="A23" t="s">
        <v>80</v>
      </c>
      <c r="B23" t="s">
        <v>21</v>
      </c>
      <c r="C23">
        <v>7</v>
      </c>
      <c r="D23" s="3">
        <v>44034</v>
      </c>
      <c r="E23">
        <v>12</v>
      </c>
      <c r="F23" t="s">
        <v>81</v>
      </c>
      <c r="G23" t="s">
        <v>6</v>
      </c>
      <c r="T23" s="11" t="s">
        <v>161</v>
      </c>
      <c r="U23">
        <v>2</v>
      </c>
    </row>
    <row r="24" spans="1:27">
      <c r="A24" t="s">
        <v>82</v>
      </c>
      <c r="B24" t="s">
        <v>25</v>
      </c>
      <c r="C24">
        <v>20</v>
      </c>
      <c r="D24" s="3">
        <v>43692</v>
      </c>
      <c r="E24">
        <v>5.5</v>
      </c>
      <c r="F24" t="s">
        <v>83</v>
      </c>
      <c r="G24" t="s">
        <v>5</v>
      </c>
      <c r="T24" s="7" t="s">
        <v>138</v>
      </c>
      <c r="U24">
        <v>10</v>
      </c>
    </row>
    <row r="25" spans="1:27">
      <c r="A25" t="s">
        <v>84</v>
      </c>
      <c r="B25" t="s">
        <v>29</v>
      </c>
      <c r="C25">
        <v>2</v>
      </c>
      <c r="D25" s="3">
        <v>43434</v>
      </c>
      <c r="E25">
        <v>60</v>
      </c>
      <c r="F25" t="s">
        <v>85</v>
      </c>
      <c r="G25" t="s">
        <v>7</v>
      </c>
      <c r="T25" s="10" t="s">
        <v>148</v>
      </c>
      <c r="U25">
        <v>5</v>
      </c>
    </row>
    <row r="26" spans="1:27">
      <c r="A26" t="s">
        <v>86</v>
      </c>
      <c r="B26" t="s">
        <v>32</v>
      </c>
      <c r="C26">
        <v>9</v>
      </c>
      <c r="D26" s="3">
        <v>44566</v>
      </c>
      <c r="E26">
        <v>25</v>
      </c>
      <c r="F26" t="s">
        <v>87</v>
      </c>
      <c r="G26" t="s">
        <v>8</v>
      </c>
      <c r="T26" s="11" t="s">
        <v>154</v>
      </c>
      <c r="U26">
        <v>2</v>
      </c>
    </row>
    <row r="27" spans="1:27">
      <c r="A27" t="s">
        <v>88</v>
      </c>
      <c r="B27" t="s">
        <v>35</v>
      </c>
      <c r="C27">
        <v>7</v>
      </c>
      <c r="D27" s="3">
        <v>45261</v>
      </c>
      <c r="E27">
        <v>20</v>
      </c>
      <c r="F27" t="s">
        <v>89</v>
      </c>
      <c r="G27" t="s">
        <v>4</v>
      </c>
      <c r="T27" s="11" t="s">
        <v>155</v>
      </c>
      <c r="U27">
        <v>3</v>
      </c>
    </row>
    <row r="28" spans="1:27">
      <c r="A28" t="s">
        <v>90</v>
      </c>
      <c r="B28" t="s">
        <v>38</v>
      </c>
      <c r="C28">
        <v>3</v>
      </c>
      <c r="D28" s="3">
        <v>45334</v>
      </c>
      <c r="E28">
        <v>120</v>
      </c>
      <c r="F28" t="s">
        <v>91</v>
      </c>
      <c r="G28" t="s">
        <v>9</v>
      </c>
      <c r="T28" s="10" t="s">
        <v>149</v>
      </c>
      <c r="U28">
        <v>5</v>
      </c>
    </row>
    <row r="29" spans="1:27">
      <c r="A29" t="s">
        <v>92</v>
      </c>
      <c r="B29" t="s">
        <v>41</v>
      </c>
      <c r="C29">
        <v>15</v>
      </c>
      <c r="D29" s="3">
        <v>43595</v>
      </c>
      <c r="E29">
        <v>8.8000000000000007</v>
      </c>
      <c r="F29" t="s">
        <v>93</v>
      </c>
      <c r="G29" t="s">
        <v>6</v>
      </c>
      <c r="T29" s="11" t="s">
        <v>158</v>
      </c>
      <c r="U29">
        <v>3</v>
      </c>
      <c r="Z29" s="12" t="s">
        <v>163</v>
      </c>
      <c r="AA29" s="12"/>
    </row>
    <row r="30" spans="1:27">
      <c r="A30" t="s">
        <v>45</v>
      </c>
      <c r="B30" t="s">
        <v>44</v>
      </c>
      <c r="C30">
        <v>10</v>
      </c>
      <c r="D30" s="3">
        <v>44007</v>
      </c>
      <c r="E30">
        <v>36.1</v>
      </c>
      <c r="F30" t="s">
        <v>94</v>
      </c>
      <c r="G30" t="s">
        <v>7</v>
      </c>
      <c r="T30" s="11" t="s">
        <v>159</v>
      </c>
      <c r="U30">
        <v>2</v>
      </c>
      <c r="Z30" s="12"/>
      <c r="AA30" s="12"/>
    </row>
    <row r="31" spans="1:27">
      <c r="A31" t="s">
        <v>95</v>
      </c>
      <c r="B31" t="s">
        <v>47</v>
      </c>
      <c r="C31">
        <v>-5</v>
      </c>
      <c r="D31" s="3">
        <v>44391</v>
      </c>
      <c r="E31">
        <v>15</v>
      </c>
      <c r="F31" t="s">
        <v>96</v>
      </c>
      <c r="G31" t="s">
        <v>49</v>
      </c>
      <c r="T31" s="7" t="s">
        <v>139</v>
      </c>
      <c r="U31">
        <v>10</v>
      </c>
      <c r="Z31" s="6" t="s">
        <v>135</v>
      </c>
      <c r="AA31" t="s">
        <v>162</v>
      </c>
    </row>
    <row r="32" spans="1:27">
      <c r="A32" t="s">
        <v>97</v>
      </c>
      <c r="B32" t="s">
        <v>51</v>
      </c>
      <c r="C32">
        <v>8</v>
      </c>
      <c r="D32" s="3">
        <v>43738</v>
      </c>
      <c r="E32">
        <v>45</v>
      </c>
      <c r="F32" t="s">
        <v>98</v>
      </c>
      <c r="G32" t="s">
        <v>53</v>
      </c>
      <c r="T32" s="10" t="s">
        <v>147</v>
      </c>
      <c r="U32">
        <v>2</v>
      </c>
      <c r="Z32" s="7" t="s">
        <v>15</v>
      </c>
      <c r="AA32">
        <v>16</v>
      </c>
    </row>
    <row r="33" spans="1:27">
      <c r="A33" t="s">
        <v>99</v>
      </c>
      <c r="B33" t="s">
        <v>55</v>
      </c>
      <c r="C33">
        <v>12</v>
      </c>
      <c r="D33" s="3">
        <v>44876</v>
      </c>
      <c r="E33">
        <v>22.5</v>
      </c>
      <c r="F33" t="s">
        <v>100</v>
      </c>
      <c r="G33" t="s">
        <v>8</v>
      </c>
      <c r="T33" s="11" t="s">
        <v>153</v>
      </c>
      <c r="U33">
        <v>2</v>
      </c>
      <c r="Z33" s="7" t="s">
        <v>61</v>
      </c>
      <c r="AA33">
        <v>10</v>
      </c>
    </row>
    <row r="34" spans="1:27">
      <c r="A34" t="s">
        <v>101</v>
      </c>
      <c r="B34" t="s">
        <v>58</v>
      </c>
      <c r="C34">
        <v>9</v>
      </c>
      <c r="D34" s="3">
        <v>43895</v>
      </c>
      <c r="E34">
        <v>11</v>
      </c>
      <c r="F34" t="s">
        <v>102</v>
      </c>
      <c r="G34" t="s">
        <v>6</v>
      </c>
      <c r="T34" s="10" t="s">
        <v>148</v>
      </c>
      <c r="U34">
        <v>5</v>
      </c>
      <c r="Z34" s="7" t="s">
        <v>136</v>
      </c>
      <c r="AA34">
        <v>26</v>
      </c>
    </row>
    <row r="35" spans="1:27">
      <c r="A35" t="s">
        <v>103</v>
      </c>
      <c r="B35" t="s">
        <v>61</v>
      </c>
      <c r="C35">
        <v>30</v>
      </c>
      <c r="D35" s="3">
        <v>43459</v>
      </c>
      <c r="E35">
        <v>5</v>
      </c>
      <c r="F35" t="s">
        <v>104</v>
      </c>
      <c r="G35" t="s">
        <v>7</v>
      </c>
      <c r="T35" s="11" t="s">
        <v>156</v>
      </c>
      <c r="U35">
        <v>5</v>
      </c>
    </row>
    <row r="36" spans="1:27">
      <c r="A36" t="s">
        <v>105</v>
      </c>
      <c r="B36" t="s">
        <v>64</v>
      </c>
      <c r="C36">
        <v>1</v>
      </c>
      <c r="D36" s="3">
        <v>44927</v>
      </c>
      <c r="E36">
        <v>80</v>
      </c>
      <c r="F36" t="s">
        <v>106</v>
      </c>
      <c r="G36" t="s">
        <v>5</v>
      </c>
      <c r="T36" s="10" t="s">
        <v>149</v>
      </c>
      <c r="U36">
        <v>3</v>
      </c>
    </row>
    <row r="37" spans="1:27">
      <c r="A37" t="s">
        <v>107</v>
      </c>
      <c r="B37" t="s">
        <v>67</v>
      </c>
      <c r="C37">
        <v>2</v>
      </c>
      <c r="D37" s="3">
        <v>45350</v>
      </c>
      <c r="E37">
        <v>150</v>
      </c>
      <c r="F37" t="s">
        <v>108</v>
      </c>
      <c r="G37" t="s">
        <v>69</v>
      </c>
      <c r="T37" s="11" t="s">
        <v>157</v>
      </c>
      <c r="U37">
        <v>3</v>
      </c>
    </row>
    <row r="38" spans="1:27">
      <c r="A38" t="s">
        <v>109</v>
      </c>
      <c r="B38" t="s">
        <v>41</v>
      </c>
      <c r="C38">
        <v>9</v>
      </c>
      <c r="D38" s="3">
        <v>43570</v>
      </c>
      <c r="E38">
        <v>8.8000000000000007</v>
      </c>
      <c r="F38" t="s">
        <v>110</v>
      </c>
      <c r="G38" t="s">
        <v>6</v>
      </c>
      <c r="T38" s="7" t="s">
        <v>140</v>
      </c>
      <c r="U38">
        <v>5</v>
      </c>
    </row>
    <row r="39" spans="1:27">
      <c r="A39" t="s">
        <v>111</v>
      </c>
      <c r="B39" t="s">
        <v>44</v>
      </c>
      <c r="C39">
        <v>10</v>
      </c>
      <c r="D39" s="3">
        <v>44007</v>
      </c>
      <c r="E39">
        <v>12</v>
      </c>
      <c r="F39" t="s">
        <v>112</v>
      </c>
      <c r="G39" t="s">
        <v>7</v>
      </c>
      <c r="T39" s="10" t="s">
        <v>147</v>
      </c>
      <c r="U39">
        <v>1</v>
      </c>
    </row>
    <row r="40" spans="1:27">
      <c r="A40" t="s">
        <v>113</v>
      </c>
      <c r="B40" t="s">
        <v>76</v>
      </c>
      <c r="C40">
        <v>9</v>
      </c>
      <c r="D40" s="3">
        <v>44416</v>
      </c>
      <c r="E40">
        <v>20</v>
      </c>
      <c r="F40" t="s">
        <v>114</v>
      </c>
      <c r="G40" t="s">
        <v>8</v>
      </c>
      <c r="T40" s="11" t="s">
        <v>153</v>
      </c>
      <c r="U40">
        <v>1</v>
      </c>
    </row>
    <row r="41" spans="1:27">
      <c r="A41" t="s">
        <v>115</v>
      </c>
      <c r="B41" t="s">
        <v>18</v>
      </c>
      <c r="C41">
        <v>5</v>
      </c>
      <c r="D41" s="3">
        <v>44654</v>
      </c>
      <c r="E41">
        <v>39.5</v>
      </c>
      <c r="F41" t="s">
        <v>116</v>
      </c>
      <c r="G41" t="s">
        <v>9</v>
      </c>
      <c r="T41" s="10" t="s">
        <v>149</v>
      </c>
      <c r="U41">
        <v>4</v>
      </c>
    </row>
    <row r="42" spans="1:27">
      <c r="A42" t="s">
        <v>117</v>
      </c>
      <c r="B42" t="s">
        <v>21</v>
      </c>
      <c r="C42">
        <v>7</v>
      </c>
      <c r="D42" s="3">
        <v>44034</v>
      </c>
      <c r="E42">
        <v>12</v>
      </c>
      <c r="F42" t="s">
        <v>118</v>
      </c>
      <c r="G42" t="s">
        <v>6</v>
      </c>
      <c r="T42" s="11" t="s">
        <v>157</v>
      </c>
      <c r="U42">
        <v>2</v>
      </c>
    </row>
    <row r="43" spans="1:27">
      <c r="A43" t="s">
        <v>119</v>
      </c>
      <c r="B43" t="s">
        <v>25</v>
      </c>
      <c r="C43">
        <v>20</v>
      </c>
      <c r="D43" s="3">
        <v>43692</v>
      </c>
      <c r="E43">
        <v>5.5</v>
      </c>
      <c r="F43" t="s">
        <v>120</v>
      </c>
      <c r="G43" t="s">
        <v>5</v>
      </c>
      <c r="T43" s="11" t="s">
        <v>158</v>
      </c>
      <c r="U43">
        <v>2</v>
      </c>
    </row>
    <row r="44" spans="1:27">
      <c r="A44" t="s">
        <v>121</v>
      </c>
      <c r="B44" t="s">
        <v>29</v>
      </c>
      <c r="C44">
        <v>2</v>
      </c>
      <c r="D44" s="3">
        <v>43434</v>
      </c>
      <c r="E44">
        <v>60</v>
      </c>
      <c r="F44" t="s">
        <v>122</v>
      </c>
      <c r="G44" t="s">
        <v>7</v>
      </c>
      <c r="T44" s="7" t="s">
        <v>141</v>
      </c>
      <c r="U44">
        <v>8</v>
      </c>
    </row>
    <row r="45" spans="1:27">
      <c r="A45" t="s">
        <v>123</v>
      </c>
      <c r="B45" t="s">
        <v>32</v>
      </c>
      <c r="C45">
        <v>9</v>
      </c>
      <c r="D45" s="3">
        <v>44566</v>
      </c>
      <c r="E45">
        <v>25</v>
      </c>
      <c r="F45" t="s">
        <v>124</v>
      </c>
      <c r="G45" t="s">
        <v>8</v>
      </c>
      <c r="T45" s="10" t="s">
        <v>147</v>
      </c>
      <c r="U45">
        <v>3</v>
      </c>
    </row>
    <row r="46" spans="1:27">
      <c r="A46" t="s">
        <v>125</v>
      </c>
      <c r="B46" t="s">
        <v>35</v>
      </c>
      <c r="C46">
        <v>7</v>
      </c>
      <c r="D46" s="3">
        <v>45261</v>
      </c>
      <c r="E46">
        <v>20</v>
      </c>
      <c r="F46" t="s">
        <v>126</v>
      </c>
      <c r="G46" t="s">
        <v>4</v>
      </c>
      <c r="T46" s="11" t="s">
        <v>151</v>
      </c>
      <c r="U46">
        <v>3</v>
      </c>
    </row>
    <row r="47" spans="1:27">
      <c r="A47" t="s">
        <v>127</v>
      </c>
      <c r="B47" t="s">
        <v>38</v>
      </c>
      <c r="C47">
        <v>3</v>
      </c>
      <c r="D47" s="3">
        <v>45334</v>
      </c>
      <c r="E47">
        <v>120</v>
      </c>
      <c r="F47" t="s">
        <v>128</v>
      </c>
      <c r="G47" t="s">
        <v>9</v>
      </c>
      <c r="T47" s="10" t="s">
        <v>148</v>
      </c>
      <c r="U47">
        <v>3</v>
      </c>
    </row>
    <row r="48" spans="1:27">
      <c r="A48" t="s">
        <v>129</v>
      </c>
      <c r="B48" t="s">
        <v>41</v>
      </c>
      <c r="C48">
        <v>15</v>
      </c>
      <c r="D48" s="3">
        <v>43595</v>
      </c>
      <c r="E48">
        <v>8.8000000000000007</v>
      </c>
      <c r="F48" t="s">
        <v>130</v>
      </c>
      <c r="G48" t="s">
        <v>6</v>
      </c>
      <c r="T48" s="11" t="s">
        <v>154</v>
      </c>
      <c r="U48">
        <v>3</v>
      </c>
    </row>
    <row r="49" spans="1:21">
      <c r="A49" t="s">
        <v>131</v>
      </c>
      <c r="B49" t="s">
        <v>44</v>
      </c>
      <c r="C49">
        <v>10</v>
      </c>
      <c r="D49" s="3">
        <v>44007</v>
      </c>
      <c r="E49">
        <v>36.1</v>
      </c>
      <c r="F49" t="s">
        <v>132</v>
      </c>
      <c r="G49" t="s">
        <v>7</v>
      </c>
      <c r="T49" s="10" t="s">
        <v>150</v>
      </c>
      <c r="U49">
        <v>2</v>
      </c>
    </row>
    <row r="50" spans="1:21" ht="15" thickBot="1">
      <c r="D50" s="3"/>
      <c r="T50" s="11" t="s">
        <v>160</v>
      </c>
      <c r="U50">
        <v>2</v>
      </c>
    </row>
    <row r="51" spans="1:21" ht="15" thickTop="1">
      <c r="F51" s="5"/>
      <c r="T51" s="7" t="s">
        <v>142</v>
      </c>
      <c r="U51">
        <v>5</v>
      </c>
    </row>
    <row r="52" spans="1:21">
      <c r="M52">
        <v>9</v>
      </c>
      <c r="T52" s="10" t="s">
        <v>147</v>
      </c>
      <c r="U52">
        <v>2</v>
      </c>
    </row>
    <row r="53" spans="1:21" ht="15" thickBot="1">
      <c r="T53" s="11" t="s">
        <v>151</v>
      </c>
      <c r="U53">
        <v>2</v>
      </c>
    </row>
    <row r="54" spans="1:21" ht="15" thickTop="1">
      <c r="J54" s="5"/>
      <c r="T54" s="10" t="s">
        <v>150</v>
      </c>
      <c r="U54">
        <v>3</v>
      </c>
    </row>
    <row r="55" spans="1:21">
      <c r="T55" s="11" t="s">
        <v>161</v>
      </c>
      <c r="U55">
        <v>3</v>
      </c>
    </row>
    <row r="56" spans="1:21">
      <c r="T56" s="7" t="s">
        <v>143</v>
      </c>
      <c r="U56">
        <v>5</v>
      </c>
    </row>
    <row r="57" spans="1:21">
      <c r="T57" s="10" t="s">
        <v>147</v>
      </c>
      <c r="U57">
        <v>5</v>
      </c>
    </row>
    <row r="58" spans="1:21">
      <c r="D58" s="8" t="s">
        <v>145</v>
      </c>
      <c r="E58" s="9">
        <f>_xlfn.VAR.P(Table2_1[Price])</f>
        <v>1433.1066623263896</v>
      </c>
      <c r="T58" s="11" t="s">
        <v>152</v>
      </c>
      <c r="U58">
        <v>5</v>
      </c>
    </row>
    <row r="59" spans="1:21">
      <c r="T59" s="7" t="s">
        <v>136</v>
      </c>
      <c r="U59">
        <v>48</v>
      </c>
    </row>
  </sheetData>
  <mergeCells count="2">
    <mergeCell ref="Z17:AA18"/>
    <mergeCell ref="Z29:AA30"/>
  </mergeCells>
  <pageMargins left="0.7" right="0.7" top="0.75" bottom="0.75" header="0.3" footer="0.3"/>
  <drawing r:id="rId5"/>
  <legacyDrawing r:id="rId6"/>
  <tableParts count="1">
    <tablePart r:id="rId7"/>
  </tableParts>
  <extLst>
    <ext xmlns:x15="http://schemas.microsoft.com/office/spreadsheetml/2010/11/main" uri="{7E03D99C-DC04-49d9-9315-930204A7B6E9}">
      <x15:timelineRefs>
        <x15:timelineRef r:id="rId8"/>
      </x15:timeline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D7C7E-3316-41BD-97E2-5063D1292DC3}">
  <dimension ref="A1:G49"/>
  <sheetViews>
    <sheetView tabSelected="1" workbookViewId="0">
      <selection activeCell="C8" sqref="C8"/>
    </sheetView>
  </sheetViews>
  <sheetFormatPr defaultRowHeight="14.4"/>
  <cols>
    <col min="1" max="1" width="11.88671875" customWidth="1"/>
    <col min="2" max="2" width="12.44140625" bestFit="1" customWidth="1"/>
    <col min="3" max="3" width="10.21875" customWidth="1"/>
    <col min="4" max="4" width="12.88671875" customWidth="1"/>
    <col min="5" max="5" width="9" bestFit="1" customWidth="1"/>
    <col min="6" max="6" width="12.77734375" customWidth="1"/>
    <col min="7" max="7" width="14" bestFit="1" customWidth="1"/>
  </cols>
  <sheetData>
    <row r="1" spans="1:7">
      <c r="A1" s="1" t="s">
        <v>10</v>
      </c>
      <c r="B1" s="1" t="s">
        <v>11</v>
      </c>
      <c r="C1" s="1" t="s">
        <v>0</v>
      </c>
      <c r="D1" s="1" t="s">
        <v>1</v>
      </c>
      <c r="E1" s="1" t="s">
        <v>2</v>
      </c>
      <c r="F1" s="1" t="s">
        <v>13</v>
      </c>
      <c r="G1" s="1" t="s">
        <v>3</v>
      </c>
    </row>
    <row r="2" spans="1:7">
      <c r="A2" s="1" t="s">
        <v>14</v>
      </c>
      <c r="B2" s="2" t="s">
        <v>15</v>
      </c>
      <c r="C2" s="2">
        <v>10</v>
      </c>
      <c r="D2" s="4">
        <v>44270</v>
      </c>
      <c r="E2" s="2">
        <v>15.99</v>
      </c>
      <c r="F2" s="2" t="s">
        <v>16</v>
      </c>
      <c r="G2" s="2" t="s">
        <v>4</v>
      </c>
    </row>
    <row r="3" spans="1:7">
      <c r="A3" s="1" t="s">
        <v>17</v>
      </c>
      <c r="B3" s="2" t="s">
        <v>18</v>
      </c>
      <c r="C3" s="2">
        <v>5</v>
      </c>
      <c r="D3" s="4">
        <v>44654</v>
      </c>
      <c r="E3" s="2">
        <v>39.5</v>
      </c>
      <c r="F3" s="2" t="s">
        <v>19</v>
      </c>
      <c r="G3" s="2" t="s">
        <v>9</v>
      </c>
    </row>
    <row r="4" spans="1:7">
      <c r="A4" s="1" t="s">
        <v>20</v>
      </c>
      <c r="B4" s="2" t="s">
        <v>21</v>
      </c>
      <c r="C4" s="2" t="s">
        <v>22</v>
      </c>
      <c r="D4" s="4">
        <v>44034</v>
      </c>
      <c r="E4" s="2">
        <v>12</v>
      </c>
      <c r="F4" s="2" t="s">
        <v>23</v>
      </c>
      <c r="G4" s="2" t="s">
        <v>6</v>
      </c>
    </row>
    <row r="5" spans="1:7">
      <c r="A5" s="1" t="s">
        <v>24</v>
      </c>
      <c r="B5" s="2" t="s">
        <v>25</v>
      </c>
      <c r="C5" s="2">
        <v>20</v>
      </c>
      <c r="D5" s="4">
        <v>43692</v>
      </c>
      <c r="E5" s="2">
        <v>5.5</v>
      </c>
      <c r="F5" s="2" t="s">
        <v>26</v>
      </c>
      <c r="G5" s="2" t="s">
        <v>27</v>
      </c>
    </row>
    <row r="6" spans="1:7">
      <c r="A6" s="1" t="s">
        <v>28</v>
      </c>
      <c r="B6" s="2" t="s">
        <v>29</v>
      </c>
      <c r="C6" s="2">
        <v>2</v>
      </c>
      <c r="D6" s="4">
        <v>43434</v>
      </c>
      <c r="E6" s="2">
        <v>59.99</v>
      </c>
      <c r="F6" s="2" t="s">
        <v>30</v>
      </c>
      <c r="G6" s="2" t="s">
        <v>7</v>
      </c>
    </row>
    <row r="7" spans="1:7">
      <c r="A7" s="1" t="s">
        <v>31</v>
      </c>
      <c r="B7" s="2" t="s">
        <v>32</v>
      </c>
      <c r="C7" s="2" t="s">
        <v>12</v>
      </c>
      <c r="D7" s="4">
        <v>44566</v>
      </c>
      <c r="E7" s="2">
        <v>25</v>
      </c>
      <c r="F7" s="2" t="s">
        <v>33</v>
      </c>
      <c r="G7" s="2" t="s">
        <v>8</v>
      </c>
    </row>
    <row r="8" spans="1:7">
      <c r="A8" s="1" t="s">
        <v>34</v>
      </c>
      <c r="B8" s="2" t="s">
        <v>35</v>
      </c>
      <c r="C8" s="2">
        <v>7</v>
      </c>
      <c r="D8" s="4">
        <v>45261</v>
      </c>
      <c r="E8" s="2">
        <v>19.95</v>
      </c>
      <c r="F8" s="2" t="s">
        <v>36</v>
      </c>
      <c r="G8" s="2" t="s">
        <v>4</v>
      </c>
    </row>
    <row r="9" spans="1:7">
      <c r="A9" s="1" t="s">
        <v>37</v>
      </c>
      <c r="B9" s="2" t="s">
        <v>38</v>
      </c>
      <c r="C9" s="2">
        <v>3</v>
      </c>
      <c r="D9" s="4">
        <v>45334</v>
      </c>
      <c r="E9" s="2">
        <v>120</v>
      </c>
      <c r="F9" s="2" t="s">
        <v>39</v>
      </c>
      <c r="G9" s="2" t="s">
        <v>9</v>
      </c>
    </row>
    <row r="10" spans="1:7">
      <c r="A10" s="1" t="s">
        <v>40</v>
      </c>
      <c r="B10" s="2" t="s">
        <v>41</v>
      </c>
      <c r="C10" s="2">
        <v>15</v>
      </c>
      <c r="D10" s="4">
        <v>43595</v>
      </c>
      <c r="E10" s="2">
        <v>8.75</v>
      </c>
      <c r="F10" s="2" t="s">
        <v>42</v>
      </c>
      <c r="G10" s="2" t="s">
        <v>6</v>
      </c>
    </row>
    <row r="11" spans="1:7">
      <c r="A11" s="1" t="s">
        <v>43</v>
      </c>
      <c r="B11" s="2" t="s">
        <v>44</v>
      </c>
      <c r="C11" s="2">
        <v>10</v>
      </c>
      <c r="D11" s="4">
        <v>44007</v>
      </c>
      <c r="E11" s="2" t="s">
        <v>22</v>
      </c>
      <c r="F11" s="2" t="s">
        <v>45</v>
      </c>
      <c r="G11" s="2" t="s">
        <v>7</v>
      </c>
    </row>
    <row r="12" spans="1:7">
      <c r="A12" s="1" t="s">
        <v>46</v>
      </c>
      <c r="B12" s="2" t="s">
        <v>47</v>
      </c>
      <c r="C12" s="2">
        <v>-5</v>
      </c>
      <c r="D12" s="4">
        <v>44391</v>
      </c>
      <c r="E12" s="2">
        <v>14.99</v>
      </c>
      <c r="F12" s="2" t="s">
        <v>48</v>
      </c>
      <c r="G12" s="2" t="s">
        <v>49</v>
      </c>
    </row>
    <row r="13" spans="1:7">
      <c r="A13" s="1" t="s">
        <v>50</v>
      </c>
      <c r="B13" s="2" t="s">
        <v>51</v>
      </c>
      <c r="C13" s="2">
        <v>8</v>
      </c>
      <c r="D13" s="4">
        <v>43738</v>
      </c>
      <c r="E13" s="2">
        <v>45</v>
      </c>
      <c r="F13" s="2" t="s">
        <v>52</v>
      </c>
      <c r="G13" s="2" t="s">
        <v>53</v>
      </c>
    </row>
    <row r="14" spans="1:7">
      <c r="A14" s="1" t="s">
        <v>54</v>
      </c>
      <c r="B14" s="2" t="s">
        <v>55</v>
      </c>
      <c r="C14" s="2">
        <v>12</v>
      </c>
      <c r="D14" s="4">
        <v>44876</v>
      </c>
      <c r="E14" s="2">
        <v>22.5</v>
      </c>
      <c r="F14" s="2" t="s">
        <v>56</v>
      </c>
      <c r="G14" s="2" t="s">
        <v>8</v>
      </c>
    </row>
    <row r="15" spans="1:7">
      <c r="A15" s="1" t="s">
        <v>57</v>
      </c>
      <c r="B15" s="2" t="s">
        <v>58</v>
      </c>
      <c r="C15" s="2" t="s">
        <v>22</v>
      </c>
      <c r="D15" s="4">
        <v>43895</v>
      </c>
      <c r="E15" s="2">
        <v>11</v>
      </c>
      <c r="F15" s="2" t="s">
        <v>59</v>
      </c>
      <c r="G15" s="2" t="s">
        <v>6</v>
      </c>
    </row>
    <row r="16" spans="1:7">
      <c r="A16" s="1" t="s">
        <v>60</v>
      </c>
      <c r="B16" s="2" t="s">
        <v>61</v>
      </c>
      <c r="C16" s="2">
        <v>30</v>
      </c>
      <c r="D16" s="4">
        <v>43459</v>
      </c>
      <c r="E16" s="2">
        <v>4.99</v>
      </c>
      <c r="F16" s="2" t="s">
        <v>62</v>
      </c>
      <c r="G16" s="2" t="s">
        <v>7</v>
      </c>
    </row>
    <row r="17" spans="1:7">
      <c r="A17" s="1" t="s">
        <v>63</v>
      </c>
      <c r="B17" s="2" t="s">
        <v>64</v>
      </c>
      <c r="C17" s="2">
        <v>1</v>
      </c>
      <c r="D17" s="4">
        <v>44927</v>
      </c>
      <c r="E17" s="2">
        <v>79.95</v>
      </c>
      <c r="F17" s="2" t="s">
        <v>65</v>
      </c>
      <c r="G17" s="2" t="s">
        <v>5</v>
      </c>
    </row>
    <row r="18" spans="1:7">
      <c r="A18" s="1" t="s">
        <v>66</v>
      </c>
      <c r="B18" s="2" t="s">
        <v>67</v>
      </c>
      <c r="C18" s="2">
        <v>2</v>
      </c>
      <c r="D18" s="4">
        <v>45350</v>
      </c>
      <c r="E18" s="2">
        <v>150</v>
      </c>
      <c r="F18" s="2" t="s">
        <v>68</v>
      </c>
      <c r="G18" s="2" t="s">
        <v>69</v>
      </c>
    </row>
    <row r="19" spans="1:7">
      <c r="A19" s="1" t="s">
        <v>70</v>
      </c>
      <c r="B19" s="2" t="s">
        <v>41</v>
      </c>
      <c r="C19" s="2" t="s">
        <v>22</v>
      </c>
      <c r="D19" s="4">
        <v>43570</v>
      </c>
      <c r="E19" s="2">
        <v>8.75</v>
      </c>
      <c r="F19" s="2" t="s">
        <v>71</v>
      </c>
      <c r="G19" s="2" t="s">
        <v>6</v>
      </c>
    </row>
    <row r="20" spans="1:7">
      <c r="A20" s="1" t="s">
        <v>72</v>
      </c>
      <c r="B20" s="2" t="s">
        <v>44</v>
      </c>
      <c r="C20" s="2">
        <v>10</v>
      </c>
      <c r="D20" s="4">
        <v>44007</v>
      </c>
      <c r="E20" s="2" t="s">
        <v>73</v>
      </c>
      <c r="F20" s="2" t="s">
        <v>74</v>
      </c>
      <c r="G20" s="2" t="s">
        <v>7</v>
      </c>
    </row>
    <row r="21" spans="1:7">
      <c r="A21" s="1" t="s">
        <v>75</v>
      </c>
      <c r="B21" s="2" t="s">
        <v>76</v>
      </c>
      <c r="C21" s="2" t="s">
        <v>12</v>
      </c>
      <c r="D21" s="4">
        <v>44416</v>
      </c>
      <c r="E21" s="2">
        <v>19.989999999999998</v>
      </c>
      <c r="F21" s="2" t="s">
        <v>77</v>
      </c>
      <c r="G21" s="2" t="s">
        <v>8</v>
      </c>
    </row>
    <row r="22" spans="1:7">
      <c r="A22" s="1" t="s">
        <v>78</v>
      </c>
      <c r="B22" s="2" t="s">
        <v>18</v>
      </c>
      <c r="C22" s="2">
        <v>5</v>
      </c>
      <c r="D22" s="4">
        <v>44654</v>
      </c>
      <c r="E22" s="2">
        <v>39.5</v>
      </c>
      <c r="F22" s="2" t="s">
        <v>79</v>
      </c>
      <c r="G22" s="2" t="s">
        <v>9</v>
      </c>
    </row>
    <row r="23" spans="1:7">
      <c r="A23" s="1" t="s">
        <v>80</v>
      </c>
      <c r="B23" s="2" t="s">
        <v>21</v>
      </c>
      <c r="C23" s="2">
        <v>7</v>
      </c>
      <c r="D23" s="4">
        <v>44034</v>
      </c>
      <c r="E23" s="2">
        <v>12</v>
      </c>
      <c r="F23" s="2" t="s">
        <v>81</v>
      </c>
      <c r="G23" s="2" t="s">
        <v>6</v>
      </c>
    </row>
    <row r="24" spans="1:7">
      <c r="A24" s="1" t="s">
        <v>82</v>
      </c>
      <c r="B24" s="2" t="s">
        <v>25</v>
      </c>
      <c r="C24" s="2">
        <v>20</v>
      </c>
      <c r="D24" s="4">
        <v>43692</v>
      </c>
      <c r="E24" s="2">
        <v>5.5</v>
      </c>
      <c r="F24" s="2" t="s">
        <v>83</v>
      </c>
      <c r="G24" s="2" t="s">
        <v>5</v>
      </c>
    </row>
    <row r="25" spans="1:7">
      <c r="A25" s="1" t="s">
        <v>84</v>
      </c>
      <c r="B25" s="2" t="s">
        <v>29</v>
      </c>
      <c r="C25" s="2">
        <v>2</v>
      </c>
      <c r="D25" s="4">
        <v>43434</v>
      </c>
      <c r="E25" s="2">
        <v>59.99</v>
      </c>
      <c r="F25" s="2" t="s">
        <v>85</v>
      </c>
      <c r="G25" s="2" t="s">
        <v>7</v>
      </c>
    </row>
    <row r="26" spans="1:7">
      <c r="A26" s="1" t="s">
        <v>86</v>
      </c>
      <c r="B26" s="2" t="s">
        <v>32</v>
      </c>
      <c r="C26" s="2" t="s">
        <v>22</v>
      </c>
      <c r="D26" s="4">
        <v>44566</v>
      </c>
      <c r="E26" s="2">
        <v>25</v>
      </c>
      <c r="F26" s="2" t="s">
        <v>87</v>
      </c>
      <c r="G26" s="2" t="s">
        <v>8</v>
      </c>
    </row>
    <row r="27" spans="1:7">
      <c r="A27" s="1" t="s">
        <v>88</v>
      </c>
      <c r="B27" s="2" t="s">
        <v>35</v>
      </c>
      <c r="C27" s="2">
        <v>7</v>
      </c>
      <c r="D27" s="4">
        <v>45261</v>
      </c>
      <c r="E27" s="2">
        <v>19.95</v>
      </c>
      <c r="F27" s="2" t="s">
        <v>89</v>
      </c>
      <c r="G27" s="2" t="s">
        <v>4</v>
      </c>
    </row>
    <row r="28" spans="1:7">
      <c r="A28" s="1" t="s">
        <v>90</v>
      </c>
      <c r="B28" s="2" t="s">
        <v>38</v>
      </c>
      <c r="C28" s="2">
        <v>3</v>
      </c>
      <c r="D28" s="4">
        <v>45334</v>
      </c>
      <c r="E28" s="2">
        <v>120</v>
      </c>
      <c r="F28" s="2" t="s">
        <v>91</v>
      </c>
      <c r="G28" s="2" t="s">
        <v>9</v>
      </c>
    </row>
    <row r="29" spans="1:7">
      <c r="A29" s="1" t="s">
        <v>92</v>
      </c>
      <c r="B29" s="2" t="s">
        <v>41</v>
      </c>
      <c r="C29" s="2">
        <v>15</v>
      </c>
      <c r="D29" s="4">
        <v>43595</v>
      </c>
      <c r="E29" s="2">
        <v>8.75</v>
      </c>
      <c r="F29" s="2" t="s">
        <v>93</v>
      </c>
      <c r="G29" s="2" t="s">
        <v>6</v>
      </c>
    </row>
    <row r="30" spans="1:7">
      <c r="A30" s="1" t="s">
        <v>45</v>
      </c>
      <c r="B30" s="2" t="s">
        <v>44</v>
      </c>
      <c r="C30" s="2">
        <v>10</v>
      </c>
      <c r="D30" s="4">
        <v>44007</v>
      </c>
      <c r="E30" s="2" t="s">
        <v>22</v>
      </c>
      <c r="F30" s="2" t="s">
        <v>94</v>
      </c>
      <c r="G30" s="2" t="s">
        <v>7</v>
      </c>
    </row>
    <row r="31" spans="1:7">
      <c r="A31" s="1" t="s">
        <v>95</v>
      </c>
      <c r="B31" s="2" t="s">
        <v>47</v>
      </c>
      <c r="C31" s="2">
        <v>-5</v>
      </c>
      <c r="D31" s="4">
        <v>44391</v>
      </c>
      <c r="E31" s="2">
        <v>14.99</v>
      </c>
      <c r="F31" s="2" t="s">
        <v>96</v>
      </c>
      <c r="G31" s="2" t="s">
        <v>49</v>
      </c>
    </row>
    <row r="32" spans="1:7">
      <c r="A32" s="1" t="s">
        <v>97</v>
      </c>
      <c r="B32" s="2" t="s">
        <v>51</v>
      </c>
      <c r="C32" s="2">
        <v>8</v>
      </c>
      <c r="D32" s="4">
        <v>43738</v>
      </c>
      <c r="E32" s="2">
        <v>45</v>
      </c>
      <c r="F32" s="2" t="s">
        <v>98</v>
      </c>
      <c r="G32" s="2" t="s">
        <v>53</v>
      </c>
    </row>
    <row r="33" spans="1:7">
      <c r="A33" s="1" t="s">
        <v>99</v>
      </c>
      <c r="B33" s="2" t="s">
        <v>55</v>
      </c>
      <c r="C33" s="2">
        <v>12</v>
      </c>
      <c r="D33" s="4">
        <v>44876</v>
      </c>
      <c r="E33" s="2">
        <v>22.5</v>
      </c>
      <c r="F33" s="2" t="s">
        <v>100</v>
      </c>
      <c r="G33" s="2" t="s">
        <v>8</v>
      </c>
    </row>
    <row r="34" spans="1:7">
      <c r="A34" s="1" t="s">
        <v>101</v>
      </c>
      <c r="B34" s="2" t="s">
        <v>58</v>
      </c>
      <c r="C34" s="2" t="s">
        <v>22</v>
      </c>
      <c r="D34" s="4">
        <v>43895</v>
      </c>
      <c r="E34" s="2">
        <v>11</v>
      </c>
      <c r="F34" s="2" t="s">
        <v>102</v>
      </c>
      <c r="G34" s="2" t="s">
        <v>6</v>
      </c>
    </row>
    <row r="35" spans="1:7">
      <c r="A35" s="1" t="s">
        <v>103</v>
      </c>
      <c r="B35" s="2" t="s">
        <v>61</v>
      </c>
      <c r="C35" s="2">
        <v>30</v>
      </c>
      <c r="D35" s="4">
        <v>43459</v>
      </c>
      <c r="E35" s="2">
        <v>4.99</v>
      </c>
      <c r="F35" s="2" t="s">
        <v>104</v>
      </c>
      <c r="G35" s="2" t="s">
        <v>7</v>
      </c>
    </row>
    <row r="36" spans="1:7">
      <c r="A36" s="1" t="s">
        <v>105</v>
      </c>
      <c r="B36" s="2" t="s">
        <v>64</v>
      </c>
      <c r="C36" s="2">
        <v>1</v>
      </c>
      <c r="D36" s="4">
        <v>44927</v>
      </c>
      <c r="E36" s="2">
        <v>79.95</v>
      </c>
      <c r="F36" s="2" t="s">
        <v>106</v>
      </c>
      <c r="G36" s="2" t="s">
        <v>5</v>
      </c>
    </row>
    <row r="37" spans="1:7">
      <c r="A37" s="1" t="s">
        <v>107</v>
      </c>
      <c r="B37" s="2" t="s">
        <v>67</v>
      </c>
      <c r="C37" s="2">
        <v>2</v>
      </c>
      <c r="D37" s="4">
        <v>45350</v>
      </c>
      <c r="E37" s="2">
        <v>150</v>
      </c>
      <c r="F37" s="2" t="s">
        <v>108</v>
      </c>
      <c r="G37" s="2" t="s">
        <v>69</v>
      </c>
    </row>
    <row r="38" spans="1:7">
      <c r="A38" s="1" t="s">
        <v>109</v>
      </c>
      <c r="B38" s="2" t="s">
        <v>41</v>
      </c>
      <c r="C38" s="2" t="s">
        <v>22</v>
      </c>
      <c r="D38" s="4">
        <v>43570</v>
      </c>
      <c r="E38" s="2">
        <v>8.75</v>
      </c>
      <c r="F38" s="2" t="s">
        <v>110</v>
      </c>
      <c r="G38" s="2" t="s">
        <v>6</v>
      </c>
    </row>
    <row r="39" spans="1:7">
      <c r="A39" s="1" t="s">
        <v>111</v>
      </c>
      <c r="B39" s="2" t="s">
        <v>44</v>
      </c>
      <c r="C39" s="2">
        <v>10</v>
      </c>
      <c r="D39" s="4">
        <v>44007</v>
      </c>
      <c r="E39" s="2" t="s">
        <v>73</v>
      </c>
      <c r="F39" s="2" t="s">
        <v>112</v>
      </c>
      <c r="G39" s="2" t="s">
        <v>7</v>
      </c>
    </row>
    <row r="40" spans="1:7">
      <c r="A40" s="1" t="s">
        <v>113</v>
      </c>
      <c r="B40" s="2" t="s">
        <v>76</v>
      </c>
      <c r="C40" s="2" t="s">
        <v>12</v>
      </c>
      <c r="D40" s="4">
        <v>44416</v>
      </c>
      <c r="E40" s="2">
        <v>19.989999999999998</v>
      </c>
      <c r="F40" s="2" t="s">
        <v>114</v>
      </c>
      <c r="G40" s="2" t="s">
        <v>8</v>
      </c>
    </row>
    <row r="41" spans="1:7">
      <c r="A41" s="1" t="s">
        <v>115</v>
      </c>
      <c r="B41" s="2" t="s">
        <v>18</v>
      </c>
      <c r="C41" s="2">
        <v>5</v>
      </c>
      <c r="D41" s="4">
        <v>44654</v>
      </c>
      <c r="E41" s="2">
        <v>39.5</v>
      </c>
      <c r="F41" s="2" t="s">
        <v>116</v>
      </c>
      <c r="G41" s="2" t="s">
        <v>9</v>
      </c>
    </row>
    <row r="42" spans="1:7">
      <c r="A42" s="1" t="s">
        <v>117</v>
      </c>
      <c r="B42" s="2" t="s">
        <v>21</v>
      </c>
      <c r="C42" s="2">
        <v>7</v>
      </c>
      <c r="D42" s="4">
        <v>44034</v>
      </c>
      <c r="E42" s="2">
        <v>12</v>
      </c>
      <c r="F42" s="2" t="s">
        <v>118</v>
      </c>
      <c r="G42" s="2" t="s">
        <v>6</v>
      </c>
    </row>
    <row r="43" spans="1:7">
      <c r="A43" s="1" t="s">
        <v>119</v>
      </c>
      <c r="B43" s="2" t="s">
        <v>25</v>
      </c>
      <c r="C43" s="2">
        <v>20</v>
      </c>
      <c r="D43" s="4">
        <v>43692</v>
      </c>
      <c r="E43" s="2">
        <v>5.5</v>
      </c>
      <c r="F43" s="2" t="s">
        <v>120</v>
      </c>
      <c r="G43" s="2" t="s">
        <v>5</v>
      </c>
    </row>
    <row r="44" spans="1:7">
      <c r="A44" s="1" t="s">
        <v>121</v>
      </c>
      <c r="B44" s="2" t="s">
        <v>29</v>
      </c>
      <c r="C44" s="2">
        <v>2</v>
      </c>
      <c r="D44" s="4">
        <v>43434</v>
      </c>
      <c r="E44" s="2">
        <v>59.99</v>
      </c>
      <c r="F44" s="2" t="s">
        <v>122</v>
      </c>
      <c r="G44" s="2" t="s">
        <v>7</v>
      </c>
    </row>
    <row r="45" spans="1:7">
      <c r="A45" s="1" t="s">
        <v>123</v>
      </c>
      <c r="B45" s="2" t="s">
        <v>32</v>
      </c>
      <c r="C45" s="2" t="s">
        <v>22</v>
      </c>
      <c r="D45" s="4">
        <v>44566</v>
      </c>
      <c r="E45" s="2">
        <v>25</v>
      </c>
      <c r="F45" s="2" t="s">
        <v>124</v>
      </c>
      <c r="G45" s="2" t="s">
        <v>8</v>
      </c>
    </row>
    <row r="46" spans="1:7">
      <c r="A46" s="1" t="s">
        <v>125</v>
      </c>
      <c r="B46" s="2" t="s">
        <v>35</v>
      </c>
      <c r="C46" s="2">
        <v>7</v>
      </c>
      <c r="D46" s="4">
        <v>45261</v>
      </c>
      <c r="E46" s="2">
        <v>19.95</v>
      </c>
      <c r="F46" s="2" t="s">
        <v>126</v>
      </c>
      <c r="G46" s="2" t="s">
        <v>4</v>
      </c>
    </row>
    <row r="47" spans="1:7">
      <c r="A47" s="1" t="s">
        <v>127</v>
      </c>
      <c r="B47" s="2" t="s">
        <v>38</v>
      </c>
      <c r="C47" s="2">
        <v>3</v>
      </c>
      <c r="D47" s="4">
        <v>45334</v>
      </c>
      <c r="E47" s="2">
        <v>120</v>
      </c>
      <c r="F47" s="2" t="s">
        <v>128</v>
      </c>
      <c r="G47" s="2" t="s">
        <v>9</v>
      </c>
    </row>
    <row r="48" spans="1:7">
      <c r="A48" s="1" t="s">
        <v>129</v>
      </c>
      <c r="B48" s="2" t="s">
        <v>41</v>
      </c>
      <c r="C48" s="2">
        <v>15</v>
      </c>
      <c r="D48" s="4">
        <v>43595</v>
      </c>
      <c r="E48" s="2">
        <v>8.75</v>
      </c>
      <c r="F48" s="2" t="s">
        <v>130</v>
      </c>
      <c r="G48" s="2" t="s">
        <v>6</v>
      </c>
    </row>
    <row r="49" spans="1:7">
      <c r="A49" s="1" t="s">
        <v>131</v>
      </c>
      <c r="B49" s="2" t="s">
        <v>44</v>
      </c>
      <c r="C49" s="2">
        <v>10</v>
      </c>
      <c r="D49" s="4">
        <v>44007</v>
      </c>
      <c r="E49" s="2" t="s">
        <v>22</v>
      </c>
      <c r="F49" s="2" t="s">
        <v>132</v>
      </c>
      <c r="G49" s="2" t="s">
        <v>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7EAB4BF-5EB9-466A-9C81-5B3712BB143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Surya Rajpurohit</cp:lastModifiedBy>
  <dcterms:created xsi:type="dcterms:W3CDTF">2019-06-29T05:39:31Z</dcterms:created>
  <dcterms:modified xsi:type="dcterms:W3CDTF">2026-09-05T08:14:01Z</dcterms:modified>
</cp:coreProperties>
</file>