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EXCEL\ALL_TASKS\TASK_10\"/>
    </mc:Choice>
  </mc:AlternateContent>
  <xr:revisionPtr revIDLastSave="0" documentId="13_ncr:1_{C942BD29-C455-4E71-B9D3-D1715A3BF593}" xr6:coauthVersionLast="47" xr6:coauthVersionMax="47" xr10:uidLastSave="{00000000-0000-0000-0000-000000000000}"/>
  <bookViews>
    <workbookView xWindow="-108" yWindow="-108" windowWidth="23256" windowHeight="12456" xr2:uid="{93E5A12F-55FB-4175-9820-DD5A1BA210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2" i="1" l="1"/>
  <c r="J75" i="1"/>
  <c r="J74" i="1"/>
  <c r="J49" i="1"/>
  <c r="K28" i="1"/>
  <c r="J5" i="1"/>
  <c r="J4" i="1"/>
</calcChain>
</file>

<file path=xl/sharedStrings.xml><?xml version="1.0" encoding="utf-8"?>
<sst xmlns="http://schemas.openxmlformats.org/spreadsheetml/2006/main" count="297" uniqueCount="219">
  <si>
    <t>LG Refrigerator</t>
  </si>
  <si>
    <t>Samsung Refrigerator</t>
  </si>
  <si>
    <t>Whirlpool Refrigerator</t>
  </si>
  <si>
    <t>Kenstar Washing Machine</t>
  </si>
  <si>
    <t>IFB Washing Machine</t>
  </si>
  <si>
    <t>Voltas AC</t>
  </si>
  <si>
    <t>Haier AC</t>
  </si>
  <si>
    <t>Blue Star AC</t>
  </si>
  <si>
    <t>Havells Dry Iron</t>
  </si>
  <si>
    <t>Philips Mixer Grinder</t>
  </si>
  <si>
    <t xml:space="preserve">SUPERSTUD Vacuum Cleaner  </t>
  </si>
  <si>
    <t>Coway Air Purifier</t>
  </si>
  <si>
    <t>RFRLG185L2026</t>
  </si>
  <si>
    <t>RFRSM189L2026</t>
  </si>
  <si>
    <t>RFRWH200L2026</t>
  </si>
  <si>
    <t>WMKEN6KG2026</t>
  </si>
  <si>
    <t>WMIFB7KG2026</t>
  </si>
  <si>
    <t>ACVOL1.5T2026</t>
  </si>
  <si>
    <t>ACHAI1.5T2026</t>
  </si>
  <si>
    <t>ACBLU1.5T2026</t>
  </si>
  <si>
    <t>IRNHAV1000W2026</t>
  </si>
  <si>
    <t>MXPHL750W2026</t>
  </si>
  <si>
    <t>VCSS2026</t>
  </si>
  <si>
    <t>APCOW2026</t>
  </si>
  <si>
    <t>Electronics</t>
  </si>
  <si>
    <t>Product Name</t>
  </si>
  <si>
    <t>Product ID</t>
  </si>
  <si>
    <t>Category</t>
  </si>
  <si>
    <t>Price</t>
  </si>
  <si>
    <t>1. XLOOKUP</t>
  </si>
  <si>
    <t>Order ID</t>
  </si>
  <si>
    <t>Restaurant Name</t>
  </si>
  <si>
    <t>Order Date</t>
  </si>
  <si>
    <t>Amount (₹)</t>
  </si>
  <si>
    <t>ZMT1001</t>
  </si>
  <si>
    <t>Biryani Blues</t>
  </si>
  <si>
    <t>ZMT1002</t>
  </si>
  <si>
    <t>Domino’s Pizza</t>
  </si>
  <si>
    <t>ZMT1003</t>
  </si>
  <si>
    <t>McDonald’s</t>
  </si>
  <si>
    <t>ZMT1004</t>
  </si>
  <si>
    <t>Barbeque Nation</t>
  </si>
  <si>
    <t>ZMT1005</t>
  </si>
  <si>
    <t>Subway</t>
  </si>
  <si>
    <t>ZMT1006</t>
  </si>
  <si>
    <t>The Belgian Waffle Co.</t>
  </si>
  <si>
    <t>ZMT1007</t>
  </si>
  <si>
    <t>Hocco Eatery</t>
  </si>
  <si>
    <t>ZMT1008</t>
  </si>
  <si>
    <t>La Pino’z Pizza</t>
  </si>
  <si>
    <t>ZMT1009</t>
  </si>
  <si>
    <t>Starbucks</t>
  </si>
  <si>
    <t>ZMT1010</t>
  </si>
  <si>
    <t>Kailash Parbat</t>
  </si>
  <si>
    <t>ZMT1011</t>
  </si>
  <si>
    <t>Burger King</t>
  </si>
  <si>
    <t>ZMT1012</t>
  </si>
  <si>
    <t>Gopi Dining Hall</t>
  </si>
  <si>
    <t>2. Xlookup from bottom using -1</t>
  </si>
  <si>
    <t>Playlist Name</t>
  </si>
  <si>
    <t>Genre</t>
  </si>
  <si>
    <t>Created By</t>
  </si>
  <si>
    <t>Number of Songs</t>
  </si>
  <si>
    <t>Chill Vibes</t>
  </si>
  <si>
    <t>Lo‑Fi / Chill</t>
  </si>
  <si>
    <t>Surya</t>
  </si>
  <si>
    <t>Workout Boost</t>
  </si>
  <si>
    <t>EDM / Pop</t>
  </si>
  <si>
    <t>Fitness Beats</t>
  </si>
  <si>
    <t>Indie Discoveries</t>
  </si>
  <si>
    <t>Indie / Alt</t>
  </si>
  <si>
    <t>Spotify</t>
  </si>
  <si>
    <t>Classic Rock Revival</t>
  </si>
  <si>
    <t>Rock</t>
  </si>
  <si>
    <t>Retro Tunes</t>
  </si>
  <si>
    <t>Bollywood Romance</t>
  </si>
  <si>
    <t>Bollywood</t>
  </si>
  <si>
    <t>Desi Melodies</t>
  </si>
  <si>
    <t>Focus Flow</t>
  </si>
  <si>
    <t>Instrumental</t>
  </si>
  <si>
    <t>Study Sounds</t>
  </si>
  <si>
    <t>Party Mix 2026</t>
  </si>
  <si>
    <t>Pop / Dance</t>
  </si>
  <si>
    <t>DJ Pulse</t>
  </si>
  <si>
    <t>Jazz Nights</t>
  </si>
  <si>
    <t>Jazz</t>
  </si>
  <si>
    <t>Smooth Collective</t>
  </si>
  <si>
    <t>Hip‑Hop Heat</t>
  </si>
  <si>
    <t>Hip‑Hop / Rap</t>
  </si>
  <si>
    <t>Urban Flow</t>
  </si>
  <si>
    <t>Acoustic Mornings</t>
  </si>
  <si>
    <t>Acoustic / Folk</t>
  </si>
  <si>
    <t>Latin Fiesta</t>
  </si>
  <si>
    <t>Latin / Reggaeton</t>
  </si>
  <si>
    <t>Fiesta Beats</t>
  </si>
  <si>
    <t>Country Roads</t>
  </si>
  <si>
    <t>Country</t>
  </si>
  <si>
    <t>Nashville Tunes</t>
  </si>
  <si>
    <t>Meditation Moments</t>
  </si>
  <si>
    <t>Ambient / Relax</t>
  </si>
  <si>
    <t>Calm Studio</t>
  </si>
  <si>
    <t>Throwback Hits</t>
  </si>
  <si>
    <t>Pop Classics</t>
  </si>
  <si>
    <t>Metal Madness</t>
  </si>
  <si>
    <t>Metal</t>
  </si>
  <si>
    <t>Heavy Strings</t>
  </si>
  <si>
    <t>R&amp;B Essentials</t>
  </si>
  <si>
    <t>R&amp;B / Soul</t>
  </si>
  <si>
    <t>Smooth Vibes</t>
  </si>
  <si>
    <t>Global Top 50</t>
  </si>
  <si>
    <t>Mixed</t>
  </si>
  <si>
    <t>Spotify Charts</t>
  </si>
  <si>
    <t>K‑Pop Fever</t>
  </si>
  <si>
    <t>K‑Pop</t>
  </si>
  <si>
    <t>Seoul Beats</t>
  </si>
  <si>
    <t>Reggae Sunshine</t>
  </si>
  <si>
    <t>Reggae</t>
  </si>
  <si>
    <t>Island Rhythms</t>
  </si>
  <si>
    <t>Piano Dreams</t>
  </si>
  <si>
    <t>Classical / Piano</t>
  </si>
  <si>
    <t>Harmony House</t>
  </si>
  <si>
    <t>3. Use Backward X lookup</t>
  </si>
  <si>
    <t>Booking ID</t>
  </si>
  <si>
    <t>Passenger Name</t>
  </si>
  <si>
    <t>Train Number</t>
  </si>
  <si>
    <t>Status</t>
  </si>
  <si>
    <t>BKG001</t>
  </si>
  <si>
    <t>Ramesh Patel</t>
  </si>
  <si>
    <t>Confirmed</t>
  </si>
  <si>
    <t>BKG002</t>
  </si>
  <si>
    <t>Priya Sharma</t>
  </si>
  <si>
    <t>Waitlisted</t>
  </si>
  <si>
    <t>BKG003</t>
  </si>
  <si>
    <t>Anil Kumar</t>
  </si>
  <si>
    <t>BKG004</t>
  </si>
  <si>
    <t>Sneha Mehta</t>
  </si>
  <si>
    <t>Cancelled</t>
  </si>
  <si>
    <t>BKG005</t>
  </si>
  <si>
    <t>Arjun Singh</t>
  </si>
  <si>
    <t>BKG006</t>
  </si>
  <si>
    <t>Kavita Joshi</t>
  </si>
  <si>
    <t>BKG007</t>
  </si>
  <si>
    <t>Rohit Verma</t>
  </si>
  <si>
    <t>BKG008</t>
  </si>
  <si>
    <t>Neha Desai</t>
  </si>
  <si>
    <t>BKG009</t>
  </si>
  <si>
    <t>Suresh Iyer</t>
  </si>
  <si>
    <t>BKG010</t>
  </si>
  <si>
    <t>Meera Nair</t>
  </si>
  <si>
    <t>BKG011</t>
  </si>
  <si>
    <t>Amit Trivedi</t>
  </si>
  <si>
    <t>BKG012</t>
  </si>
  <si>
    <t>Pooja Rathi</t>
  </si>
  <si>
    <t>BKG013</t>
  </si>
  <si>
    <t>Vikram Chauhan</t>
  </si>
  <si>
    <t>BKG014</t>
  </si>
  <si>
    <t>Deepa Kapoor</t>
  </si>
  <si>
    <t>BKG015</t>
  </si>
  <si>
    <t>Sanjay Gupta</t>
  </si>
  <si>
    <t>BKG016</t>
  </si>
  <si>
    <t>Alok Mishra</t>
  </si>
  <si>
    <t>BKG017</t>
  </si>
  <si>
    <t>Shalini Rao</t>
  </si>
  <si>
    <t>BKG018</t>
  </si>
  <si>
    <t>Manish Pandey</t>
  </si>
  <si>
    <t>BKG019</t>
  </si>
  <si>
    <t>Jyoti Saxena</t>
  </si>
  <si>
    <t>BKG020</t>
  </si>
  <si>
    <t>Harish Bhat</t>
  </si>
  <si>
    <t>BKG056</t>
  </si>
  <si>
    <t>&lt;----  This is gving an error</t>
  </si>
  <si>
    <t>&lt;----    This is giving me the message 
which we right in the case if we not found value</t>
  </si>
  <si>
    <t xml:space="preserve">4. xlookup for unmatch value </t>
  </si>
  <si>
    <t>Delivery Date</t>
  </si>
  <si>
    <t>Customer Name</t>
  </si>
  <si>
    <t>Product</t>
  </si>
  <si>
    <t>ORD001</t>
  </si>
  <si>
    <t>Laptop</t>
  </si>
  <si>
    <t>Delivered</t>
  </si>
  <si>
    <t>ORD002</t>
  </si>
  <si>
    <t>Headphones</t>
  </si>
  <si>
    <t>Pending</t>
  </si>
  <si>
    <t>ORD003</t>
  </si>
  <si>
    <t>Smartphone</t>
  </si>
  <si>
    <t>ORD004</t>
  </si>
  <si>
    <t>Smartwatch</t>
  </si>
  <si>
    <t>ORD005</t>
  </si>
  <si>
    <t>Tablet</t>
  </si>
  <si>
    <t>ORD006</t>
  </si>
  <si>
    <t>Bluetooth Speaker</t>
  </si>
  <si>
    <t>ORD007</t>
  </si>
  <si>
    <t>Monitor</t>
  </si>
  <si>
    <t>ORD008</t>
  </si>
  <si>
    <t>Keyboard</t>
  </si>
  <si>
    <t>ORD009</t>
  </si>
  <si>
    <t>Mouse</t>
  </si>
  <si>
    <t>ORD010</t>
  </si>
  <si>
    <t>Printer</t>
  </si>
  <si>
    <t>ORD011</t>
  </si>
  <si>
    <t>Router</t>
  </si>
  <si>
    <t>ORD012</t>
  </si>
  <si>
    <t>Camera</t>
  </si>
  <si>
    <t>ORD013</t>
  </si>
  <si>
    <t>Tripod</t>
  </si>
  <si>
    <t>ORD014</t>
  </si>
  <si>
    <t>Power Bank</t>
  </si>
  <si>
    <t>ORD015</t>
  </si>
  <si>
    <t>Drone</t>
  </si>
  <si>
    <t>ORD016</t>
  </si>
  <si>
    <t>VR Headset</t>
  </si>
  <si>
    <t>ORD017</t>
  </si>
  <si>
    <t>Fitness Band</t>
  </si>
  <si>
    <t>ORD018</t>
  </si>
  <si>
    <t>External HDD</t>
  </si>
  <si>
    <t>ORD019</t>
  </si>
  <si>
    <t>SSD</t>
  </si>
  <si>
    <t>ORD020</t>
  </si>
  <si>
    <t>Projector</t>
  </si>
  <si>
    <t>xlookup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</si>
</sst>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ont="1"/>
    <xf numFmtId="0" fontId="0" fillId="0" borderId="1" xfId="0" applyBorder="1"/>
    <xf numFmtId="0" fontId="0" fillId="0" borderId="1" xfId="0" applyFont="1" applyBorder="1"/>
    <xf numFmtId="0" fontId="2" fillId="0" borderId="1" xfId="0" applyFont="1" applyBorder="1"/>
    <xf numFmtId="3" fontId="0" fillId="0" borderId="1" xfId="0" applyNumberFormat="1" applyFont="1" applyBorder="1"/>
    <xf numFmtId="0" fontId="1" fillId="2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69E2E-3A04-406A-AE98-42ACA0561D3A}">
  <dimension ref="B1:M120"/>
  <sheetViews>
    <sheetView tabSelected="1" topLeftCell="A97" workbookViewId="0">
      <selection activeCell="L116" sqref="L116"/>
    </sheetView>
  </sheetViews>
  <sheetFormatPr defaultRowHeight="14.4"/>
  <cols>
    <col min="2" max="2" width="18.21875" bestFit="1" customWidth="1"/>
    <col min="3" max="3" width="14.77734375" bestFit="1" customWidth="1"/>
    <col min="4" max="4" width="17.44140625" customWidth="1"/>
    <col min="5" max="5" width="16.21875" customWidth="1"/>
    <col min="9" max="9" width="17.6640625" bestFit="1" customWidth="1"/>
    <col min="10" max="10" width="15.5546875" bestFit="1" customWidth="1"/>
    <col min="11" max="11" width="10.88671875" customWidth="1"/>
  </cols>
  <sheetData>
    <row r="1" spans="2:10">
      <c r="I1" s="7" t="s">
        <v>29</v>
      </c>
      <c r="J1" s="7"/>
    </row>
    <row r="2" spans="2:10">
      <c r="I2" s="7"/>
      <c r="J2" s="7"/>
    </row>
    <row r="3" spans="2:10">
      <c r="B3" s="6" t="s">
        <v>25</v>
      </c>
      <c r="C3" s="6" t="s">
        <v>26</v>
      </c>
      <c r="D3" s="6" t="s">
        <v>27</v>
      </c>
      <c r="E3" s="6" t="s">
        <v>28</v>
      </c>
      <c r="I3" s="6" t="s">
        <v>25</v>
      </c>
      <c r="J3" s="6" t="s">
        <v>26</v>
      </c>
    </row>
    <row r="4" spans="2:10">
      <c r="B4" s="3" t="s">
        <v>0</v>
      </c>
      <c r="C4" s="4" t="s">
        <v>12</v>
      </c>
      <c r="D4" s="3" t="s">
        <v>24</v>
      </c>
      <c r="E4" s="5">
        <v>2458</v>
      </c>
      <c r="I4" s="2" t="s">
        <v>5</v>
      </c>
      <c r="J4" s="2" t="str">
        <f>_xlfn.XLOOKUP(I4, B3:B15, C3:C15, "0")</f>
        <v>MXPHL750W2026</v>
      </c>
    </row>
    <row r="5" spans="2:10">
      <c r="B5" s="3" t="s">
        <v>1</v>
      </c>
      <c r="C5" s="4" t="s">
        <v>23</v>
      </c>
      <c r="D5" s="3" t="s">
        <v>24</v>
      </c>
      <c r="E5" s="5">
        <v>77694</v>
      </c>
      <c r="I5" t="s">
        <v>9</v>
      </c>
      <c r="J5">
        <f>_xlfn.XLOOKUP(I5,B3:B15,E3:E15," Not found",0)</f>
        <v>48753</v>
      </c>
    </row>
    <row r="6" spans="2:10">
      <c r="B6" s="3" t="s">
        <v>2</v>
      </c>
      <c r="C6" s="4" t="s">
        <v>13</v>
      </c>
      <c r="D6" s="3" t="s">
        <v>24</v>
      </c>
      <c r="E6" s="5">
        <v>18932</v>
      </c>
    </row>
    <row r="7" spans="2:10">
      <c r="B7" s="3" t="s">
        <v>3</v>
      </c>
      <c r="C7" s="4" t="s">
        <v>22</v>
      </c>
      <c r="D7" s="3" t="s">
        <v>24</v>
      </c>
      <c r="E7" s="5">
        <v>64875</v>
      </c>
    </row>
    <row r="8" spans="2:10">
      <c r="B8" s="3" t="s">
        <v>4</v>
      </c>
      <c r="C8" s="4" t="s">
        <v>14</v>
      </c>
      <c r="D8" s="3" t="s">
        <v>24</v>
      </c>
      <c r="E8" s="5">
        <v>25674</v>
      </c>
    </row>
    <row r="9" spans="2:10">
      <c r="B9" s="3" t="s">
        <v>5</v>
      </c>
      <c r="C9" s="4" t="s">
        <v>21</v>
      </c>
      <c r="D9" s="3" t="s">
        <v>24</v>
      </c>
      <c r="E9" s="5">
        <v>59402</v>
      </c>
    </row>
    <row r="10" spans="2:10">
      <c r="B10" s="3" t="s">
        <v>6</v>
      </c>
      <c r="C10" s="4" t="s">
        <v>15</v>
      </c>
      <c r="D10" s="3" t="s">
        <v>24</v>
      </c>
      <c r="E10" s="5">
        <v>31509</v>
      </c>
    </row>
    <row r="11" spans="2:10">
      <c r="B11" s="3" t="s">
        <v>7</v>
      </c>
      <c r="C11" s="4" t="s">
        <v>20</v>
      </c>
      <c r="D11" s="3" t="s">
        <v>24</v>
      </c>
      <c r="E11" s="5">
        <v>53289</v>
      </c>
    </row>
    <row r="12" spans="2:10">
      <c r="B12" s="3" t="s">
        <v>8</v>
      </c>
      <c r="C12" s="4" t="s">
        <v>16</v>
      </c>
      <c r="D12" s="3" t="s">
        <v>24</v>
      </c>
      <c r="E12" s="5">
        <v>37821</v>
      </c>
    </row>
    <row r="13" spans="2:10">
      <c r="B13" s="3" t="s">
        <v>9</v>
      </c>
      <c r="C13" s="4" t="s">
        <v>19</v>
      </c>
      <c r="D13" s="3" t="s">
        <v>24</v>
      </c>
      <c r="E13" s="5">
        <v>48753</v>
      </c>
    </row>
    <row r="14" spans="2:10">
      <c r="B14" s="3" t="s">
        <v>10</v>
      </c>
      <c r="C14" s="4" t="s">
        <v>17</v>
      </c>
      <c r="D14" s="3" t="s">
        <v>24</v>
      </c>
      <c r="E14" s="5">
        <v>42116</v>
      </c>
    </row>
    <row r="15" spans="2:10">
      <c r="B15" s="3" t="s">
        <v>11</v>
      </c>
      <c r="C15" s="4" t="s">
        <v>18</v>
      </c>
      <c r="D15" s="3" t="s">
        <v>24</v>
      </c>
      <c r="E15" s="5">
        <v>71238</v>
      </c>
    </row>
    <row r="26" spans="2:11">
      <c r="J26" s="14" t="s">
        <v>58</v>
      </c>
      <c r="K26" s="14"/>
    </row>
    <row r="27" spans="2:11" ht="28.8">
      <c r="B27" s="12" t="s">
        <v>30</v>
      </c>
      <c r="C27" s="12" t="s">
        <v>31</v>
      </c>
      <c r="D27" s="12" t="s">
        <v>32</v>
      </c>
      <c r="E27" s="12" t="s">
        <v>33</v>
      </c>
      <c r="J27" s="14"/>
      <c r="K27" s="14"/>
    </row>
    <row r="28" spans="2:11">
      <c r="B28" s="8" t="s">
        <v>34</v>
      </c>
      <c r="C28" s="9" t="s">
        <v>35</v>
      </c>
      <c r="D28" s="10">
        <v>46244</v>
      </c>
      <c r="E28" s="9">
        <v>489</v>
      </c>
      <c r="J28" s="2" t="s">
        <v>40</v>
      </c>
      <c r="K28" s="15">
        <f>_xlfn.XLOOKUP(J28,B27:B39,D27:D39,"Not found",0,-1)</f>
        <v>46246</v>
      </c>
    </row>
    <row r="29" spans="2:11">
      <c r="B29" s="8" t="s">
        <v>36</v>
      </c>
      <c r="C29" s="9" t="s">
        <v>37</v>
      </c>
      <c r="D29" s="10">
        <v>46245</v>
      </c>
      <c r="E29" s="9">
        <v>725</v>
      </c>
    </row>
    <row r="30" spans="2:11">
      <c r="B30" s="8" t="s">
        <v>38</v>
      </c>
      <c r="C30" s="9" t="s">
        <v>39</v>
      </c>
      <c r="D30" s="10">
        <v>46246</v>
      </c>
      <c r="E30" s="9">
        <v>612</v>
      </c>
    </row>
    <row r="31" spans="2:11">
      <c r="B31" s="8" t="s">
        <v>40</v>
      </c>
      <c r="C31" s="9" t="s">
        <v>41</v>
      </c>
      <c r="D31" s="10">
        <v>46246</v>
      </c>
      <c r="E31" s="11">
        <v>1249</v>
      </c>
    </row>
    <row r="32" spans="2:11">
      <c r="B32" s="8" t="s">
        <v>42</v>
      </c>
      <c r="C32" s="9" t="s">
        <v>43</v>
      </c>
      <c r="D32" s="10">
        <v>46247</v>
      </c>
      <c r="E32" s="9">
        <v>455</v>
      </c>
    </row>
    <row r="33" spans="2:10">
      <c r="B33" s="8" t="s">
        <v>44</v>
      </c>
      <c r="C33" s="9" t="s">
        <v>45</v>
      </c>
      <c r="D33" s="10">
        <v>46247</v>
      </c>
      <c r="E33" s="9">
        <v>379</v>
      </c>
    </row>
    <row r="34" spans="2:10">
      <c r="B34" s="8" t="s">
        <v>46</v>
      </c>
      <c r="C34" s="9" t="s">
        <v>47</v>
      </c>
      <c r="D34" s="10">
        <v>46248</v>
      </c>
      <c r="E34" s="9">
        <v>698</v>
      </c>
    </row>
    <row r="35" spans="2:10">
      <c r="B35" s="8" t="s">
        <v>48</v>
      </c>
      <c r="C35" s="9" t="s">
        <v>49</v>
      </c>
      <c r="D35" s="10">
        <v>46248</v>
      </c>
      <c r="E35" s="9">
        <v>842</v>
      </c>
    </row>
    <row r="36" spans="2:10">
      <c r="B36" s="8" t="s">
        <v>50</v>
      </c>
      <c r="C36" s="9" t="s">
        <v>51</v>
      </c>
      <c r="D36" s="10">
        <v>46249</v>
      </c>
      <c r="E36" s="9">
        <v>512</v>
      </c>
    </row>
    <row r="37" spans="2:10">
      <c r="B37" s="8" t="s">
        <v>52</v>
      </c>
      <c r="C37" s="9" t="s">
        <v>53</v>
      </c>
      <c r="D37" s="10">
        <v>46249</v>
      </c>
      <c r="E37" s="11">
        <v>1035</v>
      </c>
    </row>
    <row r="38" spans="2:10">
      <c r="B38" s="8" t="s">
        <v>54</v>
      </c>
      <c r="C38" s="9" t="s">
        <v>55</v>
      </c>
      <c r="D38" s="10">
        <v>46250</v>
      </c>
      <c r="E38" s="9">
        <v>599</v>
      </c>
    </row>
    <row r="39" spans="2:10">
      <c r="B39" s="8" t="s">
        <v>56</v>
      </c>
      <c r="C39" s="9" t="s">
        <v>57</v>
      </c>
      <c r="D39" s="10">
        <v>46250</v>
      </c>
      <c r="E39" s="9">
        <v>925</v>
      </c>
    </row>
    <row r="46" spans="2:10" ht="15" customHeight="1">
      <c r="B46" s="12" t="s">
        <v>59</v>
      </c>
      <c r="C46" s="12" t="s">
        <v>60</v>
      </c>
      <c r="D46" s="12" t="s">
        <v>61</v>
      </c>
      <c r="E46" s="12" t="s">
        <v>62</v>
      </c>
      <c r="I46" s="14" t="s">
        <v>121</v>
      </c>
      <c r="J46" s="14"/>
    </row>
    <row r="47" spans="2:10" ht="15" customHeight="1">
      <c r="B47" s="13" t="s">
        <v>63</v>
      </c>
      <c r="C47" s="13" t="s">
        <v>64</v>
      </c>
      <c r="D47" s="13" t="s">
        <v>65</v>
      </c>
      <c r="E47" s="13">
        <v>45</v>
      </c>
      <c r="I47" s="14"/>
      <c r="J47" s="14"/>
    </row>
    <row r="48" spans="2:10" ht="15" customHeight="1">
      <c r="B48" s="13" t="s">
        <v>66</v>
      </c>
      <c r="C48" s="13" t="s">
        <v>67</v>
      </c>
      <c r="D48" s="13" t="s">
        <v>68</v>
      </c>
      <c r="E48" s="13">
        <v>60</v>
      </c>
      <c r="I48" s="14"/>
      <c r="J48" s="14"/>
    </row>
    <row r="49" spans="2:10" ht="15" customHeight="1">
      <c r="B49" s="13" t="s">
        <v>69</v>
      </c>
      <c r="C49" s="13" t="s">
        <v>70</v>
      </c>
      <c r="D49" s="13" t="s">
        <v>71</v>
      </c>
      <c r="E49" s="13">
        <v>38</v>
      </c>
      <c r="I49" s="2" t="s">
        <v>82</v>
      </c>
      <c r="J49" s="2" t="str">
        <f>_xlfn.XLOOKUP(I49,C46:C66,B46:B66,"No playlist found",0)</f>
        <v>Party Mix 2026</v>
      </c>
    </row>
    <row r="50" spans="2:10" ht="15" customHeight="1">
      <c r="B50" s="13" t="s">
        <v>72</v>
      </c>
      <c r="C50" s="13" t="s">
        <v>73</v>
      </c>
      <c r="D50" s="13" t="s">
        <v>74</v>
      </c>
      <c r="E50" s="13">
        <v>52</v>
      </c>
    </row>
    <row r="51" spans="2:10" ht="15" customHeight="1">
      <c r="B51" s="13" t="s">
        <v>75</v>
      </c>
      <c r="C51" s="13" t="s">
        <v>76</v>
      </c>
      <c r="D51" s="13" t="s">
        <v>77</v>
      </c>
      <c r="E51" s="13">
        <v>40</v>
      </c>
    </row>
    <row r="52" spans="2:10" ht="15" customHeight="1">
      <c r="B52" s="13" t="s">
        <v>78</v>
      </c>
      <c r="C52" s="13" t="s">
        <v>79</v>
      </c>
      <c r="D52" s="13" t="s">
        <v>80</v>
      </c>
      <c r="E52" s="13">
        <v>30</v>
      </c>
    </row>
    <row r="53" spans="2:10" ht="15" customHeight="1">
      <c r="B53" s="13" t="s">
        <v>81</v>
      </c>
      <c r="C53" s="13" t="s">
        <v>82</v>
      </c>
      <c r="D53" s="13" t="s">
        <v>83</v>
      </c>
      <c r="E53" s="13">
        <v>75</v>
      </c>
    </row>
    <row r="54" spans="2:10" ht="15" customHeight="1">
      <c r="B54" s="13" t="s">
        <v>84</v>
      </c>
      <c r="C54" s="13" t="s">
        <v>85</v>
      </c>
      <c r="D54" s="13" t="s">
        <v>86</v>
      </c>
      <c r="E54" s="13">
        <v>28</v>
      </c>
    </row>
    <row r="55" spans="2:10" ht="15" customHeight="1">
      <c r="B55" s="13" t="s">
        <v>87</v>
      </c>
      <c r="C55" s="13" t="s">
        <v>88</v>
      </c>
      <c r="D55" s="13" t="s">
        <v>89</v>
      </c>
      <c r="E55" s="13">
        <v>65</v>
      </c>
    </row>
    <row r="56" spans="2:10" ht="15" customHeight="1">
      <c r="B56" s="13" t="s">
        <v>90</v>
      </c>
      <c r="C56" s="13" t="s">
        <v>91</v>
      </c>
      <c r="D56" s="13" t="s">
        <v>71</v>
      </c>
      <c r="E56" s="13">
        <v>33</v>
      </c>
    </row>
    <row r="57" spans="2:10" ht="15" customHeight="1">
      <c r="B57" s="13" t="s">
        <v>92</v>
      </c>
      <c r="C57" s="13" t="s">
        <v>93</v>
      </c>
      <c r="D57" s="13" t="s">
        <v>94</v>
      </c>
      <c r="E57" s="13">
        <v>50</v>
      </c>
    </row>
    <row r="58" spans="2:10" ht="15" customHeight="1">
      <c r="B58" s="13" t="s">
        <v>95</v>
      </c>
      <c r="C58" s="13" t="s">
        <v>96</v>
      </c>
      <c r="D58" s="13" t="s">
        <v>97</v>
      </c>
      <c r="E58" s="13">
        <v>42</v>
      </c>
    </row>
    <row r="59" spans="2:10" ht="15" customHeight="1">
      <c r="B59" s="13" t="s">
        <v>98</v>
      </c>
      <c r="C59" s="13" t="s">
        <v>99</v>
      </c>
      <c r="D59" s="13" t="s">
        <v>100</v>
      </c>
      <c r="E59" s="13">
        <v>25</v>
      </c>
    </row>
    <row r="60" spans="2:10" ht="15" customHeight="1">
      <c r="B60" s="13" t="s">
        <v>101</v>
      </c>
      <c r="C60" s="13" t="s">
        <v>102</v>
      </c>
      <c r="D60" s="13" t="s">
        <v>71</v>
      </c>
      <c r="E60" s="13">
        <v>80</v>
      </c>
    </row>
    <row r="61" spans="2:10" ht="15" customHeight="1">
      <c r="B61" s="13" t="s">
        <v>103</v>
      </c>
      <c r="C61" s="13" t="s">
        <v>104</v>
      </c>
      <c r="D61" s="13" t="s">
        <v>105</v>
      </c>
      <c r="E61" s="13">
        <v>55</v>
      </c>
    </row>
    <row r="62" spans="2:10" ht="15" customHeight="1">
      <c r="B62" s="13" t="s">
        <v>106</v>
      </c>
      <c r="C62" s="13" t="s">
        <v>107</v>
      </c>
      <c r="D62" s="13" t="s">
        <v>108</v>
      </c>
      <c r="E62" s="13">
        <v>47</v>
      </c>
    </row>
    <row r="63" spans="2:10" ht="15" customHeight="1">
      <c r="B63" s="13" t="s">
        <v>109</v>
      </c>
      <c r="C63" s="13" t="s">
        <v>110</v>
      </c>
      <c r="D63" s="13" t="s">
        <v>111</v>
      </c>
      <c r="E63" s="13">
        <v>50</v>
      </c>
    </row>
    <row r="64" spans="2:10" ht="15" customHeight="1">
      <c r="B64" s="13" t="s">
        <v>112</v>
      </c>
      <c r="C64" s="13" t="s">
        <v>113</v>
      </c>
      <c r="D64" s="13" t="s">
        <v>114</v>
      </c>
      <c r="E64" s="13">
        <v>62</v>
      </c>
    </row>
    <row r="65" spans="2:13" ht="15" customHeight="1">
      <c r="B65" s="13" t="s">
        <v>115</v>
      </c>
      <c r="C65" s="13" t="s">
        <v>116</v>
      </c>
      <c r="D65" s="13" t="s">
        <v>117</v>
      </c>
      <c r="E65" s="13">
        <v>36</v>
      </c>
    </row>
    <row r="66" spans="2:13" ht="15" customHeight="1">
      <c r="B66" s="13" t="s">
        <v>118</v>
      </c>
      <c r="C66" s="13" t="s">
        <v>119</v>
      </c>
      <c r="D66" s="13" t="s">
        <v>120</v>
      </c>
      <c r="E66" s="13">
        <v>29</v>
      </c>
    </row>
    <row r="73" spans="2:13" ht="28.8">
      <c r="B73" s="12" t="s">
        <v>122</v>
      </c>
      <c r="C73" s="12" t="s">
        <v>123</v>
      </c>
      <c r="D73" s="12" t="s">
        <v>124</v>
      </c>
      <c r="E73" s="12" t="s">
        <v>125</v>
      </c>
      <c r="I73" s="14" t="s">
        <v>172</v>
      </c>
      <c r="J73" s="14"/>
      <c r="K73" s="14"/>
      <c r="L73" s="14"/>
      <c r="M73" s="14"/>
    </row>
    <row r="74" spans="2:13">
      <c r="B74" s="13" t="s">
        <v>126</v>
      </c>
      <c r="C74" s="9" t="s">
        <v>127</v>
      </c>
      <c r="D74" s="9">
        <v>12951</v>
      </c>
      <c r="E74" s="9" t="s">
        <v>128</v>
      </c>
      <c r="I74" s="2" t="s">
        <v>169</v>
      </c>
      <c r="J74" s="2" t="e">
        <f>_xlfn.XLOOKUP(I74,B73:B93,E73:E93)</f>
        <v>#N/A</v>
      </c>
      <c r="K74" s="16" t="s">
        <v>170</v>
      </c>
      <c r="L74" s="16"/>
      <c r="M74" s="16"/>
    </row>
    <row r="75" spans="2:13">
      <c r="B75" s="13" t="s">
        <v>129</v>
      </c>
      <c r="C75" s="9" t="s">
        <v>130</v>
      </c>
      <c r="D75" s="9">
        <v>12009</v>
      </c>
      <c r="E75" s="9" t="s">
        <v>131</v>
      </c>
      <c r="I75" s="2" t="s">
        <v>169</v>
      </c>
      <c r="J75" s="17" t="str">
        <f>_xlfn.XLOOKUP(I75,B73:B93,E73:E93,"Booking Not Found",0)</f>
        <v>Booking Not Found</v>
      </c>
      <c r="K75" s="18" t="s">
        <v>171</v>
      </c>
      <c r="L75" s="19"/>
      <c r="M75" s="19"/>
    </row>
    <row r="76" spans="2:13">
      <c r="B76" s="13" t="s">
        <v>132</v>
      </c>
      <c r="C76" s="9" t="s">
        <v>133</v>
      </c>
      <c r="D76" s="9">
        <v>12627</v>
      </c>
      <c r="E76" s="9" t="s">
        <v>128</v>
      </c>
      <c r="K76" s="19"/>
      <c r="L76" s="19"/>
      <c r="M76" s="19"/>
    </row>
    <row r="77" spans="2:13">
      <c r="B77" s="13" t="s">
        <v>134</v>
      </c>
      <c r="C77" s="9" t="s">
        <v>135</v>
      </c>
      <c r="D77" s="9">
        <v>19038</v>
      </c>
      <c r="E77" s="9" t="s">
        <v>136</v>
      </c>
      <c r="K77" s="19"/>
      <c r="L77" s="19"/>
      <c r="M77" s="19"/>
    </row>
    <row r="78" spans="2:13">
      <c r="B78" s="13" t="s">
        <v>137</v>
      </c>
      <c r="C78" s="9" t="s">
        <v>138</v>
      </c>
      <c r="D78" s="9">
        <v>12479</v>
      </c>
      <c r="E78" s="9" t="s">
        <v>128</v>
      </c>
    </row>
    <row r="79" spans="2:13">
      <c r="B79" s="13" t="s">
        <v>139</v>
      </c>
      <c r="C79" s="9" t="s">
        <v>140</v>
      </c>
      <c r="D79" s="9">
        <v>12267</v>
      </c>
      <c r="E79" s="9" t="s">
        <v>131</v>
      </c>
    </row>
    <row r="80" spans="2:13">
      <c r="B80" s="13" t="s">
        <v>141</v>
      </c>
      <c r="C80" s="9" t="s">
        <v>142</v>
      </c>
      <c r="D80" s="9">
        <v>12833</v>
      </c>
      <c r="E80" s="9" t="s">
        <v>128</v>
      </c>
    </row>
    <row r="81" spans="2:5">
      <c r="B81" s="13" t="s">
        <v>143</v>
      </c>
      <c r="C81" s="9" t="s">
        <v>144</v>
      </c>
      <c r="D81" s="9">
        <v>12925</v>
      </c>
      <c r="E81" s="9" t="s">
        <v>128</v>
      </c>
    </row>
    <row r="82" spans="2:5">
      <c r="B82" s="13" t="s">
        <v>145</v>
      </c>
      <c r="C82" s="9" t="s">
        <v>146</v>
      </c>
      <c r="D82" s="9">
        <v>12658</v>
      </c>
      <c r="E82" s="9" t="s">
        <v>136</v>
      </c>
    </row>
    <row r="83" spans="2:5">
      <c r="B83" s="13" t="s">
        <v>147</v>
      </c>
      <c r="C83" s="9" t="s">
        <v>148</v>
      </c>
      <c r="D83" s="9">
        <v>12049</v>
      </c>
      <c r="E83" s="9" t="s">
        <v>128</v>
      </c>
    </row>
    <row r="84" spans="2:5">
      <c r="B84" s="13" t="s">
        <v>149</v>
      </c>
      <c r="C84" s="9" t="s">
        <v>150</v>
      </c>
      <c r="D84" s="9">
        <v>12903</v>
      </c>
      <c r="E84" s="9" t="s">
        <v>128</v>
      </c>
    </row>
    <row r="85" spans="2:5">
      <c r="B85" s="13" t="s">
        <v>151</v>
      </c>
      <c r="C85" s="9" t="s">
        <v>152</v>
      </c>
      <c r="D85" s="9">
        <v>12723</v>
      </c>
      <c r="E85" s="9" t="s">
        <v>131</v>
      </c>
    </row>
    <row r="86" spans="2:5">
      <c r="B86" s="13" t="s">
        <v>153</v>
      </c>
      <c r="C86" s="9" t="s">
        <v>154</v>
      </c>
      <c r="D86" s="9">
        <v>12533</v>
      </c>
      <c r="E86" s="9" t="s">
        <v>128</v>
      </c>
    </row>
    <row r="87" spans="2:5">
      <c r="B87" s="13" t="s">
        <v>155</v>
      </c>
      <c r="C87" s="9" t="s">
        <v>156</v>
      </c>
      <c r="D87" s="9">
        <v>12616</v>
      </c>
      <c r="E87" s="9" t="s">
        <v>128</v>
      </c>
    </row>
    <row r="88" spans="2:5">
      <c r="B88" s="13" t="s">
        <v>157</v>
      </c>
      <c r="C88" s="9" t="s">
        <v>158</v>
      </c>
      <c r="D88" s="9">
        <v>12414</v>
      </c>
      <c r="E88" s="9" t="s">
        <v>136</v>
      </c>
    </row>
    <row r="89" spans="2:5">
      <c r="B89" s="13" t="s">
        <v>159</v>
      </c>
      <c r="C89" s="9" t="s">
        <v>160</v>
      </c>
      <c r="D89" s="9">
        <v>12841</v>
      </c>
      <c r="E89" s="9" t="s">
        <v>128</v>
      </c>
    </row>
    <row r="90" spans="2:5">
      <c r="B90" s="13" t="s">
        <v>161</v>
      </c>
      <c r="C90" s="9" t="s">
        <v>162</v>
      </c>
      <c r="D90" s="9">
        <v>12962</v>
      </c>
      <c r="E90" s="9" t="s">
        <v>131</v>
      </c>
    </row>
    <row r="91" spans="2:5">
      <c r="B91" s="13" t="s">
        <v>163</v>
      </c>
      <c r="C91" s="9" t="s">
        <v>164</v>
      </c>
      <c r="D91" s="9">
        <v>12610</v>
      </c>
      <c r="E91" s="9" t="s">
        <v>128</v>
      </c>
    </row>
    <row r="92" spans="2:5">
      <c r="B92" s="13" t="s">
        <v>165</v>
      </c>
      <c r="C92" s="9" t="s">
        <v>166</v>
      </c>
      <c r="D92" s="9">
        <v>12245</v>
      </c>
      <c r="E92" s="9" t="s">
        <v>128</v>
      </c>
    </row>
    <row r="93" spans="2:5">
      <c r="B93" s="13" t="s">
        <v>167</v>
      </c>
      <c r="C93" s="9" t="s">
        <v>168</v>
      </c>
      <c r="D93" s="9">
        <v>12932</v>
      </c>
      <c r="E93" s="9" t="s">
        <v>128</v>
      </c>
    </row>
    <row r="94" spans="2:5">
      <c r="B94" s="1"/>
    </row>
    <row r="100" spans="2:10" ht="15" customHeight="1">
      <c r="B100" s="12" t="s">
        <v>173</v>
      </c>
      <c r="C100" s="12" t="s">
        <v>30</v>
      </c>
      <c r="D100" s="12" t="s">
        <v>174</v>
      </c>
      <c r="E100" s="12" t="s">
        <v>175</v>
      </c>
      <c r="F100" s="12" t="s">
        <v>125</v>
      </c>
      <c r="I100" s="14" t="s">
        <v>218</v>
      </c>
      <c r="J100" s="14"/>
    </row>
    <row r="101" spans="2:10" ht="15" customHeight="1">
      <c r="B101" s="20">
        <v>46235</v>
      </c>
      <c r="C101" s="9" t="s">
        <v>176</v>
      </c>
      <c r="D101" s="9" t="s">
        <v>127</v>
      </c>
      <c r="E101" s="9" t="s">
        <v>177</v>
      </c>
      <c r="F101" s="9" t="s">
        <v>178</v>
      </c>
      <c r="I101" s="14"/>
      <c r="J101" s="14"/>
    </row>
    <row r="102" spans="2:10" ht="15" customHeight="1">
      <c r="B102" s="20">
        <v>46236</v>
      </c>
      <c r="C102" s="9" t="s">
        <v>179</v>
      </c>
      <c r="D102" s="9" t="s">
        <v>130</v>
      </c>
      <c r="E102" s="9" t="s">
        <v>180</v>
      </c>
      <c r="F102" s="9" t="s">
        <v>181</v>
      </c>
      <c r="I102" s="2" t="s">
        <v>190</v>
      </c>
      <c r="J102" s="15">
        <f>_xlfn.XLOOKUP(I102, C101:C120, B101:B120, "Not Found", 0)</f>
        <v>46241</v>
      </c>
    </row>
    <row r="103" spans="2:10" ht="15" customHeight="1">
      <c r="B103" s="20">
        <v>46237</v>
      </c>
      <c r="C103" s="9" t="s">
        <v>182</v>
      </c>
      <c r="D103" s="9" t="s">
        <v>133</v>
      </c>
      <c r="E103" s="9" t="s">
        <v>183</v>
      </c>
      <c r="F103" s="9" t="s">
        <v>136</v>
      </c>
    </row>
    <row r="104" spans="2:10" ht="15" customHeight="1">
      <c r="B104" s="20">
        <v>46238</v>
      </c>
      <c r="C104" s="9" t="s">
        <v>184</v>
      </c>
      <c r="D104" s="9" t="s">
        <v>135</v>
      </c>
      <c r="E104" s="9" t="s">
        <v>185</v>
      </c>
      <c r="F104" s="9" t="s">
        <v>178</v>
      </c>
    </row>
    <row r="105" spans="2:10" ht="15" customHeight="1">
      <c r="B105" s="20">
        <v>46239</v>
      </c>
      <c r="C105" s="9" t="s">
        <v>186</v>
      </c>
      <c r="D105" s="9" t="s">
        <v>138</v>
      </c>
      <c r="E105" s="9" t="s">
        <v>187</v>
      </c>
      <c r="F105" s="9" t="s">
        <v>178</v>
      </c>
    </row>
    <row r="106" spans="2:10" ht="15" customHeight="1">
      <c r="B106" s="20">
        <v>46240</v>
      </c>
      <c r="C106" s="9" t="s">
        <v>188</v>
      </c>
      <c r="D106" s="9" t="s">
        <v>140</v>
      </c>
      <c r="E106" s="9" t="s">
        <v>189</v>
      </c>
      <c r="F106" s="9" t="s">
        <v>181</v>
      </c>
    </row>
    <row r="107" spans="2:10" ht="15" customHeight="1">
      <c r="B107" s="20">
        <v>46241</v>
      </c>
      <c r="C107" s="9" t="s">
        <v>190</v>
      </c>
      <c r="D107" s="9" t="s">
        <v>142</v>
      </c>
      <c r="E107" s="9" t="s">
        <v>191</v>
      </c>
      <c r="F107" s="9" t="s">
        <v>178</v>
      </c>
    </row>
    <row r="108" spans="2:10" ht="15" customHeight="1">
      <c r="B108" s="20">
        <v>46242</v>
      </c>
      <c r="C108" s="9" t="s">
        <v>192</v>
      </c>
      <c r="D108" s="9" t="s">
        <v>144</v>
      </c>
      <c r="E108" s="9" t="s">
        <v>193</v>
      </c>
      <c r="F108" s="9" t="s">
        <v>178</v>
      </c>
    </row>
    <row r="109" spans="2:10" ht="15" customHeight="1">
      <c r="B109" s="20">
        <v>46243</v>
      </c>
      <c r="C109" s="9" t="s">
        <v>194</v>
      </c>
      <c r="D109" s="9" t="s">
        <v>146</v>
      </c>
      <c r="E109" s="9" t="s">
        <v>195</v>
      </c>
      <c r="F109" s="9" t="s">
        <v>136</v>
      </c>
    </row>
    <row r="110" spans="2:10" ht="15" customHeight="1">
      <c r="B110" s="20">
        <v>46244</v>
      </c>
      <c r="C110" s="9" t="s">
        <v>196</v>
      </c>
      <c r="D110" s="9" t="s">
        <v>148</v>
      </c>
      <c r="E110" s="9" t="s">
        <v>197</v>
      </c>
      <c r="F110" s="9" t="s">
        <v>178</v>
      </c>
    </row>
    <row r="111" spans="2:10" ht="15" customHeight="1">
      <c r="B111" s="20">
        <v>46245</v>
      </c>
      <c r="C111" s="9" t="s">
        <v>198</v>
      </c>
      <c r="D111" s="9" t="s">
        <v>150</v>
      </c>
      <c r="E111" s="9" t="s">
        <v>199</v>
      </c>
      <c r="F111" s="9" t="s">
        <v>181</v>
      </c>
    </row>
    <row r="112" spans="2:10" ht="15" customHeight="1">
      <c r="B112" s="20">
        <v>46246</v>
      </c>
      <c r="C112" s="9" t="s">
        <v>200</v>
      </c>
      <c r="D112" s="9" t="s">
        <v>152</v>
      </c>
      <c r="E112" s="9" t="s">
        <v>201</v>
      </c>
      <c r="F112" s="9" t="s">
        <v>178</v>
      </c>
    </row>
    <row r="113" spans="2:6" ht="15" customHeight="1">
      <c r="B113" s="20">
        <v>46247</v>
      </c>
      <c r="C113" s="9" t="s">
        <v>202</v>
      </c>
      <c r="D113" s="9" t="s">
        <v>154</v>
      </c>
      <c r="E113" s="9" t="s">
        <v>203</v>
      </c>
      <c r="F113" s="9" t="s">
        <v>178</v>
      </c>
    </row>
    <row r="114" spans="2:6" ht="15" customHeight="1">
      <c r="B114" s="20">
        <v>46248</v>
      </c>
      <c r="C114" s="9" t="s">
        <v>204</v>
      </c>
      <c r="D114" s="9" t="s">
        <v>156</v>
      </c>
      <c r="E114" s="9" t="s">
        <v>205</v>
      </c>
      <c r="F114" s="9" t="s">
        <v>136</v>
      </c>
    </row>
    <row r="115" spans="2:6" ht="15" customHeight="1">
      <c r="B115" s="20">
        <v>46249</v>
      </c>
      <c r="C115" s="9" t="s">
        <v>206</v>
      </c>
      <c r="D115" s="9" t="s">
        <v>158</v>
      </c>
      <c r="E115" s="9" t="s">
        <v>207</v>
      </c>
      <c r="F115" s="9" t="s">
        <v>178</v>
      </c>
    </row>
    <row r="116" spans="2:6" ht="15" customHeight="1">
      <c r="B116" s="20">
        <v>46250</v>
      </c>
      <c r="C116" s="9" t="s">
        <v>208</v>
      </c>
      <c r="D116" s="9" t="s">
        <v>160</v>
      </c>
      <c r="E116" s="9" t="s">
        <v>209</v>
      </c>
      <c r="F116" s="9" t="s">
        <v>181</v>
      </c>
    </row>
    <row r="117" spans="2:6" ht="15" customHeight="1">
      <c r="B117" s="20">
        <v>46251</v>
      </c>
      <c r="C117" s="9" t="s">
        <v>210</v>
      </c>
      <c r="D117" s="9" t="s">
        <v>162</v>
      </c>
      <c r="E117" s="9" t="s">
        <v>211</v>
      </c>
      <c r="F117" s="9" t="s">
        <v>178</v>
      </c>
    </row>
    <row r="118" spans="2:6" ht="15" customHeight="1">
      <c r="B118" s="20">
        <v>46252</v>
      </c>
      <c r="C118" s="9" t="s">
        <v>212</v>
      </c>
      <c r="D118" s="9" t="s">
        <v>164</v>
      </c>
      <c r="E118" s="9" t="s">
        <v>213</v>
      </c>
      <c r="F118" s="9" t="s">
        <v>178</v>
      </c>
    </row>
    <row r="119" spans="2:6" ht="15" customHeight="1">
      <c r="B119" s="20">
        <v>46253</v>
      </c>
      <c r="C119" s="9" t="s">
        <v>214</v>
      </c>
      <c r="D119" s="9" t="s">
        <v>166</v>
      </c>
      <c r="E119" s="9" t="s">
        <v>215</v>
      </c>
      <c r="F119" s="9" t="s">
        <v>178</v>
      </c>
    </row>
    <row r="120" spans="2:6" ht="15" customHeight="1">
      <c r="B120" s="20">
        <v>46254</v>
      </c>
      <c r="C120" s="9" t="s">
        <v>216</v>
      </c>
      <c r="D120" s="9" t="s">
        <v>168</v>
      </c>
      <c r="E120" s="9" t="s">
        <v>217</v>
      </c>
      <c r="F120" s="9" t="s">
        <v>181</v>
      </c>
    </row>
  </sheetData>
  <mergeCells count="7">
    <mergeCell ref="I100:J101"/>
    <mergeCell ref="I1:J2"/>
    <mergeCell ref="J26:K27"/>
    <mergeCell ref="I46:J48"/>
    <mergeCell ref="K74:M74"/>
    <mergeCell ref="K75:M77"/>
    <mergeCell ref="I73:M73"/>
  </mergeCells>
  <dataValidations count="1">
    <dataValidation type="list" allowBlank="1" showInputMessage="1" showErrorMessage="1" sqref="I4" xr:uid="{AB6D42FC-2901-4CFA-8254-53E983569419}">
      <formula1>$B$4:$B$15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2026-08-15T15:23:35Z</dcterms:created>
  <dcterms:modified xsi:type="dcterms:W3CDTF">2026-08-16T16:32:47Z</dcterms:modified>
</cp:coreProperties>
</file>