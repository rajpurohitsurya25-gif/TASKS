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imelines/timeline2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19\"/>
    </mc:Choice>
  </mc:AlternateContent>
  <xr:revisionPtr revIDLastSave="0" documentId="13_ncr:1_{06092B92-6948-4B59-B356-022A83D97255}" xr6:coauthVersionLast="47" xr6:coauthVersionMax="47" xr10:uidLastSave="{00000000-0000-0000-0000-000000000000}"/>
  <bookViews>
    <workbookView xWindow="-108" yWindow="-108" windowWidth="23256" windowHeight="12456" activeTab="4" xr2:uid="{8CA3A4A6-70F6-4FA9-8558-7F67BBDCAC95}"/>
  </bookViews>
  <sheets>
    <sheet name="Sheet1" sheetId="1" r:id="rId1"/>
    <sheet name="Sheet1's Dashboard" sheetId="2" r:id="rId2"/>
    <sheet name="Sheet3" sheetId="3" r:id="rId3"/>
    <sheet name="Sheet3's Dahboard" sheetId="4" r:id="rId4"/>
    <sheet name="Sheet5" sheetId="5" r:id="rId5"/>
  </sheets>
  <definedNames>
    <definedName name="_xlchart.v1.0" hidden="1">Sheet5!$A$2:$A$13</definedName>
    <definedName name="_xlchart.v1.1" hidden="1">Sheet5!$B$1</definedName>
    <definedName name="_xlchart.v1.2" hidden="1">Sheet5!$B$2:$B$13</definedName>
    <definedName name="_xlchart.v1.3" hidden="1">Sheet5!$A$2:$A$13</definedName>
    <definedName name="_xlchart.v1.4" hidden="1">Sheet5!$B$1</definedName>
    <definedName name="_xlchart.v1.5" hidden="1">Sheet5!$B$2:$B$13</definedName>
    <definedName name="ExternalData_1" localSheetId="0" hidden="1">Sheet1!$A$1:$H$16</definedName>
    <definedName name="NativeTimeline_AmountDate">#N/A</definedName>
  </definedNames>
  <calcPr calcId="191029"/>
  <pivotCaches>
    <pivotCache cacheId="2" r:id="rId6"/>
    <pivotCache cacheId="6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5400A2-395D-4030-B293-B45F6A4DA6C7}" keepAlive="1" name="Query - Zomato_food" description="Connection to the 'Zomato_food' query in the workbook." type="5" refreshedVersion="8" background="1" saveData="1">
    <dbPr connection="Provider=Microsoft.Mashup.OleDb.1;Data Source=$Workbook$;Location=Zomato_food;Extended Properties=&quot;&quot;" command="SELECT * FROM [Zomato_food]"/>
  </connection>
</connections>
</file>

<file path=xl/sharedStrings.xml><?xml version="1.0" encoding="utf-8"?>
<sst xmlns="http://schemas.openxmlformats.org/spreadsheetml/2006/main" count="161" uniqueCount="89">
  <si>
    <t>OrderID</t>
  </si>
  <si>
    <t>UserID</t>
  </si>
  <si>
    <t>AmountDate</t>
  </si>
  <si>
    <t>Restaurant</t>
  </si>
  <si>
    <t>Items</t>
  </si>
  <si>
    <t>Amount</t>
  </si>
  <si>
    <t>PaymentMethod</t>
  </si>
  <si>
    <t>Status</t>
  </si>
  <si>
    <t>ZMT1001</t>
  </si>
  <si>
    <t>U12345</t>
  </si>
  <si>
    <t>Domino's Pizza</t>
  </si>
  <si>
    <t>Cheese Burst Pizza</t>
  </si>
  <si>
    <t>UPI</t>
  </si>
  <si>
    <t>Delivered</t>
  </si>
  <si>
    <t>ZMT1002</t>
  </si>
  <si>
    <t>KFC</t>
  </si>
  <si>
    <t>Credit Card</t>
  </si>
  <si>
    <t>ZMT1003</t>
  </si>
  <si>
    <t>Pizza Hut</t>
  </si>
  <si>
    <t>Margherita Pizza</t>
  </si>
  <si>
    <t>ZMT1004</t>
  </si>
  <si>
    <t>Biryani House</t>
  </si>
  <si>
    <t>Chicken Biryani</t>
  </si>
  <si>
    <t>Cash</t>
  </si>
  <si>
    <t>ZMT1005</t>
  </si>
  <si>
    <t>Subway</t>
  </si>
  <si>
    <t>Veggie Delight</t>
  </si>
  <si>
    <t>Debit Card</t>
  </si>
  <si>
    <t>ZMT1006</t>
  </si>
  <si>
    <t>McDonald's</t>
  </si>
  <si>
    <t>McAloo Tikki Burger</t>
  </si>
  <si>
    <t>ZMT1007</t>
  </si>
  <si>
    <t>Barbeque Nation</t>
  </si>
  <si>
    <t>Paneer Tikka</t>
  </si>
  <si>
    <t>ZMT1008</t>
  </si>
  <si>
    <t>Starbucks</t>
  </si>
  <si>
    <t>Cappuccino</t>
  </si>
  <si>
    <t>ZMT1009</t>
  </si>
  <si>
    <t>Garlic Breadsticks</t>
  </si>
  <si>
    <t>ZMT1010</t>
  </si>
  <si>
    <t>Chicken Teriyaki Sub</t>
  </si>
  <si>
    <t>ZMT1011</t>
  </si>
  <si>
    <t>Zinger Burger</t>
  </si>
  <si>
    <t>ZMT1012</t>
  </si>
  <si>
    <t>Mutton Biryani</t>
  </si>
  <si>
    <t>ZMT1013</t>
  </si>
  <si>
    <t>Fries + Coke Combo</t>
  </si>
  <si>
    <t>ZMT1014</t>
  </si>
  <si>
    <t>Stuffed Crust Pizza</t>
  </si>
  <si>
    <t>ZMT1015</t>
  </si>
  <si>
    <t>Cold Brew Coffee</t>
  </si>
  <si>
    <t>Sum of Amount</t>
  </si>
  <si>
    <t>Row Labels</t>
  </si>
  <si>
    <t>Grand Total</t>
  </si>
  <si>
    <t>Food Delivery Analytics Report</t>
  </si>
  <si>
    <t>Vada Paav</t>
  </si>
  <si>
    <t>Average of Amount</t>
  </si>
  <si>
    <t>Cuisine</t>
  </si>
  <si>
    <t>Orders</t>
  </si>
  <si>
    <t>Revenue (₹)</t>
  </si>
  <si>
    <t>Top Dish</t>
  </si>
  <si>
    <t>Avg Delivery Time (mins)</t>
  </si>
  <si>
    <t>Indian</t>
  </si>
  <si>
    <t>Chinese</t>
  </si>
  <si>
    <t>Hakka Noodles</t>
  </si>
  <si>
    <t>Italian</t>
  </si>
  <si>
    <t>Mexican</t>
  </si>
  <si>
    <t>Tacos</t>
  </si>
  <si>
    <t>Japanese</t>
  </si>
  <si>
    <t>Sushi Rolls</t>
  </si>
  <si>
    <t>American</t>
  </si>
  <si>
    <t>Burgers</t>
  </si>
  <si>
    <t>Thai</t>
  </si>
  <si>
    <t>Pad Thai</t>
  </si>
  <si>
    <t>Sum of Revenue (₹)</t>
  </si>
  <si>
    <t>Month</t>
  </si>
  <si>
    <t>Total Orders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</si>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</sst>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5" tint="0.79998168889431442"/>
      <name val="Aptos Narrow"/>
      <family val="2"/>
      <scheme val="minor"/>
    </font>
    <font>
      <sz val="11"/>
      <color theme="5" tint="0.7999816888943144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[TASK_19.xlsx]Sheet1!PivotTable3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Sheet1!$L$17:$L$32</c:f>
              <c:strCache>
                <c:ptCount val="15"/>
                <c:pt idx="0">
                  <c:v>01-08-2026</c:v>
                </c:pt>
                <c:pt idx="1">
                  <c:v>03-08-2026</c:v>
                </c:pt>
                <c:pt idx="2">
                  <c:v>05-08-2026</c:v>
                </c:pt>
                <c:pt idx="3">
                  <c:v>07-08-2026</c:v>
                </c:pt>
                <c:pt idx="4">
                  <c:v>09-08-2026</c:v>
                </c:pt>
                <c:pt idx="5">
                  <c:v>12-08-2026</c:v>
                </c:pt>
                <c:pt idx="6">
                  <c:v>14-08-2026</c:v>
                </c:pt>
                <c:pt idx="7">
                  <c:v>16-08-2026</c:v>
                </c:pt>
                <c:pt idx="8">
                  <c:v>18-08-2026</c:v>
                </c:pt>
                <c:pt idx="9">
                  <c:v>20-08-2026</c:v>
                </c:pt>
                <c:pt idx="10">
                  <c:v>22-08-2026</c:v>
                </c:pt>
                <c:pt idx="11">
                  <c:v>24-08-2026</c:v>
                </c:pt>
                <c:pt idx="12">
                  <c:v>26-08-2026</c:v>
                </c:pt>
                <c:pt idx="13">
                  <c:v>28-08-2026</c:v>
                </c:pt>
                <c:pt idx="14">
                  <c:v>30-08-2026</c:v>
                </c:pt>
              </c:strCache>
            </c:strRef>
          </c:cat>
          <c:val>
            <c:numRef>
              <c:f>Sheet1!$M$17:$M$32</c:f>
              <c:numCache>
                <c:formatCode>General</c:formatCode>
                <c:ptCount val="15"/>
                <c:pt idx="0">
                  <c:v>499</c:v>
                </c:pt>
                <c:pt idx="1">
                  <c:v>699</c:v>
                </c:pt>
                <c:pt idx="2">
                  <c:v>399</c:v>
                </c:pt>
                <c:pt idx="3">
                  <c:v>299</c:v>
                </c:pt>
                <c:pt idx="4">
                  <c:v>249</c:v>
                </c:pt>
                <c:pt idx="5">
                  <c:v>149</c:v>
                </c:pt>
                <c:pt idx="6">
                  <c:v>599</c:v>
                </c:pt>
                <c:pt idx="7">
                  <c:v>199</c:v>
                </c:pt>
                <c:pt idx="8">
                  <c:v>199</c:v>
                </c:pt>
                <c:pt idx="9">
                  <c:v>349</c:v>
                </c:pt>
                <c:pt idx="10">
                  <c:v>249</c:v>
                </c:pt>
                <c:pt idx="11">
                  <c:v>399</c:v>
                </c:pt>
                <c:pt idx="12">
                  <c:v>199</c:v>
                </c:pt>
                <c:pt idx="13">
                  <c:v>599</c:v>
                </c:pt>
                <c:pt idx="14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0-4543-BFCA-2672AF6E2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005280"/>
        <c:axId val="338518704"/>
      </c:barChart>
      <c:catAx>
        <c:axId val="46100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18704"/>
        <c:crosses val="autoZero"/>
        <c:auto val="1"/>
        <c:lblAlgn val="ctr"/>
        <c:lblOffset val="100"/>
        <c:noMultiLvlLbl val="0"/>
      </c:catAx>
      <c:valAx>
        <c:axId val="33851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0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[TASK_19.xlsx]Sheet1!PivotTable4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Sheet1!$M$37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Sheet1!$L$38:$L$42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Sheet1!$M$38:$M$42</c:f>
              <c:numCache>
                <c:formatCode>General</c:formatCode>
                <c:ptCount val="4"/>
                <c:pt idx="0">
                  <c:v>747</c:v>
                </c:pt>
                <c:pt idx="1">
                  <c:v>1697</c:v>
                </c:pt>
                <c:pt idx="2">
                  <c:v>1197</c:v>
                </c:pt>
                <c:pt idx="3">
                  <c:v>1694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2-4EF1-9CED-6A9FA2930D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[TASK_19.xlsx]Sheet1!PivotTable3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Sheet1!$L$17:$L$32</c:f>
              <c:strCache>
                <c:ptCount val="15"/>
                <c:pt idx="0">
                  <c:v>01-08-2026</c:v>
                </c:pt>
                <c:pt idx="1">
                  <c:v>03-08-2026</c:v>
                </c:pt>
                <c:pt idx="2">
                  <c:v>05-08-2026</c:v>
                </c:pt>
                <c:pt idx="3">
                  <c:v>07-08-2026</c:v>
                </c:pt>
                <c:pt idx="4">
                  <c:v>09-08-2026</c:v>
                </c:pt>
                <c:pt idx="5">
                  <c:v>12-08-2026</c:v>
                </c:pt>
                <c:pt idx="6">
                  <c:v>14-08-2026</c:v>
                </c:pt>
                <c:pt idx="7">
                  <c:v>16-08-2026</c:v>
                </c:pt>
                <c:pt idx="8">
                  <c:v>18-08-2026</c:v>
                </c:pt>
                <c:pt idx="9">
                  <c:v>20-08-2026</c:v>
                </c:pt>
                <c:pt idx="10">
                  <c:v>22-08-2026</c:v>
                </c:pt>
                <c:pt idx="11">
                  <c:v>24-08-2026</c:v>
                </c:pt>
                <c:pt idx="12">
                  <c:v>26-08-2026</c:v>
                </c:pt>
                <c:pt idx="13">
                  <c:v>28-08-2026</c:v>
                </c:pt>
                <c:pt idx="14">
                  <c:v>30-08-2026</c:v>
                </c:pt>
              </c:strCache>
            </c:strRef>
          </c:cat>
          <c:val>
            <c:numRef>
              <c:f>Sheet1!$M$17:$M$32</c:f>
              <c:numCache>
                <c:formatCode>General</c:formatCode>
                <c:ptCount val="15"/>
                <c:pt idx="0">
                  <c:v>499</c:v>
                </c:pt>
                <c:pt idx="1">
                  <c:v>699</c:v>
                </c:pt>
                <c:pt idx="2">
                  <c:v>399</c:v>
                </c:pt>
                <c:pt idx="3">
                  <c:v>299</c:v>
                </c:pt>
                <c:pt idx="4">
                  <c:v>249</c:v>
                </c:pt>
                <c:pt idx="5">
                  <c:v>149</c:v>
                </c:pt>
                <c:pt idx="6">
                  <c:v>599</c:v>
                </c:pt>
                <c:pt idx="7">
                  <c:v>199</c:v>
                </c:pt>
                <c:pt idx="8">
                  <c:v>199</c:v>
                </c:pt>
                <c:pt idx="9">
                  <c:v>349</c:v>
                </c:pt>
                <c:pt idx="10">
                  <c:v>249</c:v>
                </c:pt>
                <c:pt idx="11">
                  <c:v>399</c:v>
                </c:pt>
                <c:pt idx="12">
                  <c:v>199</c:v>
                </c:pt>
                <c:pt idx="13">
                  <c:v>599</c:v>
                </c:pt>
                <c:pt idx="14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8-48EE-8E38-1A07711AB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005280"/>
        <c:axId val="338518704"/>
      </c:barChart>
      <c:catAx>
        <c:axId val="46100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518704"/>
        <c:crosses val="autoZero"/>
        <c:auto val="1"/>
        <c:lblAlgn val="ctr"/>
        <c:lblOffset val="100"/>
        <c:noMultiLvlLbl val="0"/>
      </c:catAx>
      <c:valAx>
        <c:axId val="33851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0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[TASK_19.xlsx]Sheet1!PivotTable4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Sheet1!$M$37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29-4581-9A5F-9112F80462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29-4581-9A5F-9112F804627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29-4581-9A5F-9112F804627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A29-4581-9A5F-9112F80462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Sheet1!$L$38:$L$42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Sheet1!$M$38:$M$42</c:f>
              <c:numCache>
                <c:formatCode>General</c:formatCode>
                <c:ptCount val="4"/>
                <c:pt idx="0">
                  <c:v>747</c:v>
                </c:pt>
                <c:pt idx="1">
                  <c:v>1697</c:v>
                </c:pt>
                <c:pt idx="2">
                  <c:v>1197</c:v>
                </c:pt>
                <c:pt idx="3">
                  <c:v>1694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29-4581-9A5F-9112F80462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[TASK_19.xlsx]Sheet3!PivotTable5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Sheet3!$I$4:$I$11</c:f>
              <c:strCache>
                <c:ptCount val="7"/>
                <c:pt idx="0">
                  <c:v>American</c:v>
                </c:pt>
                <c:pt idx="1">
                  <c:v>Chinese</c:v>
                </c:pt>
                <c:pt idx="2">
                  <c:v>Indian</c:v>
                </c:pt>
                <c:pt idx="3">
                  <c:v>Italian</c:v>
                </c:pt>
                <c:pt idx="4">
                  <c:v>Japanese</c:v>
                </c:pt>
                <c:pt idx="5">
                  <c:v>Mexican</c:v>
                </c:pt>
                <c:pt idx="6">
                  <c:v>Thai</c:v>
                </c:pt>
              </c:strCache>
            </c:strRef>
          </c:cat>
          <c:val>
            <c:numRef>
              <c:f>Sheet3!$J$4:$J$11</c:f>
              <c:numCache>
                <c:formatCode>#,##0</c:formatCode>
                <c:ptCount val="7"/>
                <c:pt idx="0">
                  <c:v>900000</c:v>
                </c:pt>
                <c:pt idx="1">
                  <c:v>1420000</c:v>
                </c:pt>
                <c:pt idx="2">
                  <c:v>1875000</c:v>
                </c:pt>
                <c:pt idx="3">
                  <c:v>1210000</c:v>
                </c:pt>
                <c:pt idx="4">
                  <c:v>640000</c:v>
                </c:pt>
                <c:pt idx="5">
                  <c:v>810000</c:v>
                </c:pt>
                <c:pt idx="6">
                  <c:v>560000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1-41D4-B2A8-1990955B277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glow rad="101600">
        <a:schemeClr val="accent4">
          <a:satMod val="175000"/>
          <a:alpha val="40000"/>
        </a:schemeClr>
      </a:glow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[TASK_19.xlsx]Sheet3!PivotTable5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Sheet3!$J$3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081-4370-AFAD-6B5E31E65B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081-4370-AFAD-6B5E31E65B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081-4370-AFAD-6B5E31E65B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081-4370-AFAD-6B5E31E65B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081-4370-AFAD-6B5E31E65BC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081-4370-AFAD-6B5E31E65BC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081-4370-AFAD-6B5E31E65BC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Sheet3!$I$4:$I$11</c:f>
              <c:strCache>
                <c:ptCount val="7"/>
                <c:pt idx="0">
                  <c:v>American</c:v>
                </c:pt>
                <c:pt idx="1">
                  <c:v>Chinese</c:v>
                </c:pt>
                <c:pt idx="2">
                  <c:v>Indian</c:v>
                </c:pt>
                <c:pt idx="3">
                  <c:v>Italian</c:v>
                </c:pt>
                <c:pt idx="4">
                  <c:v>Japanese</c:v>
                </c:pt>
                <c:pt idx="5">
                  <c:v>Mexican</c:v>
                </c:pt>
                <c:pt idx="6">
                  <c:v>Thai</c:v>
                </c:pt>
              </c:strCache>
            </c:strRef>
          </c:cat>
          <c:val>
            <c:numRef>
              <c:f>Sheet3!$J$4:$J$11</c:f>
              <c:numCache>
                <c:formatCode>#,##0</c:formatCode>
                <c:ptCount val="7"/>
                <c:pt idx="0">
                  <c:v>900000</c:v>
                </c:pt>
                <c:pt idx="1">
                  <c:v>1420000</c:v>
                </c:pt>
                <c:pt idx="2">
                  <c:v>1875000</c:v>
                </c:pt>
                <c:pt idx="3">
                  <c:v>1210000</c:v>
                </c:pt>
                <c:pt idx="4">
                  <c:v>640000</c:v>
                </c:pt>
                <c:pt idx="5">
                  <c:v>810000</c:v>
                </c:pt>
                <c:pt idx="6">
                  <c:v>560000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081-4370-AFAD-6B5E31E65BC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glow rad="101600">
        <a:schemeClr val="accent2">
          <a:satMod val="175000"/>
          <a:alpha val="40000"/>
        </a:schemeClr>
      </a:glow>
      <a:softEdge rad="635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waterfall" uniqueId="{00000000-2E14-416D-84FB-2F4A47E0DDB6}">
          <cx:tx>
            <cx:txData>
              <cx:f>_xlchart.v1.4</cx:f>
              <cx:v>Total Orders</cx:v>
            </cx:txData>
          </cx:tx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129540</xdr:rowOff>
    </xdr:from>
    <xdr:to>
      <xdr:col>4</xdr:col>
      <xdr:colOff>129540</xdr:colOff>
      <xdr:row>43</xdr:row>
      <xdr:rowOff>38100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AmountDate">
              <a:extLst>
                <a:ext uri="{FF2B5EF4-FFF2-40B4-BE49-F238E27FC236}">
                  <a16:creationId xmlns:a16="http://schemas.microsoft.com/office/drawing/2014/main" id="{06FC7296-DCF1-6D4B-4442-FFDFB7026B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Amount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53034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17</xdr:row>
      <xdr:rowOff>106680</xdr:rowOff>
    </xdr:from>
    <xdr:to>
      <xdr:col>5</xdr:col>
      <xdr:colOff>160020</xdr:colOff>
      <xdr:row>32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A2F787-B5AD-ED7A-B571-B049F9980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46</xdr:row>
      <xdr:rowOff>15240</xdr:rowOff>
    </xdr:from>
    <xdr:to>
      <xdr:col>5</xdr:col>
      <xdr:colOff>160020</xdr:colOff>
      <xdr:row>61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EC1FE4-EA9F-8F00-0A49-4585915B7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3</xdr:row>
      <xdr:rowOff>152400</xdr:rowOff>
    </xdr:from>
    <xdr:to>
      <xdr:col>3</xdr:col>
      <xdr:colOff>220980</xdr:colOff>
      <xdr:row>12</xdr:row>
      <xdr:rowOff>15240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DB213AC-9FCF-6BBB-6D7E-A03E9916FB1C}"/>
            </a:ext>
          </a:extLst>
        </xdr:cNvPr>
        <xdr:cNvSpPr/>
      </xdr:nvSpPr>
      <xdr:spPr>
        <a:xfrm>
          <a:off x="274320" y="701040"/>
          <a:ext cx="1775460" cy="15087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 b="1"/>
            <a:t>Cash</a:t>
          </a:r>
          <a:r>
            <a:rPr lang="en-IN" sz="2400" b="1" baseline="0"/>
            <a:t> sales</a:t>
          </a:r>
          <a:endParaRPr lang="en-IN" sz="2400" b="1"/>
        </a:p>
      </xdr:txBody>
    </xdr:sp>
    <xdr:clientData/>
  </xdr:twoCellAnchor>
  <xdr:twoCellAnchor>
    <xdr:from>
      <xdr:col>0</xdr:col>
      <xdr:colOff>373380</xdr:colOff>
      <xdr:row>7</xdr:row>
      <xdr:rowOff>76200</xdr:rowOff>
    </xdr:from>
    <xdr:to>
      <xdr:col>3</xdr:col>
      <xdr:colOff>60960</xdr:colOff>
      <xdr:row>10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83B853-18F4-05C7-FC09-874F59DE98D7}"/>
            </a:ext>
          </a:extLst>
        </xdr:cNvPr>
        <xdr:cNvSpPr txBox="1"/>
      </xdr:nvSpPr>
      <xdr:spPr>
        <a:xfrm>
          <a:off x="373380" y="1356360"/>
          <a:ext cx="151638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4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747</a:t>
          </a:r>
          <a:r>
            <a:rPr lang="en-IN" sz="4400">
              <a:effectLst/>
            </a:rPr>
            <a:t> </a:t>
          </a:r>
          <a:endParaRPr lang="en-IN" sz="4400"/>
        </a:p>
      </xdr:txBody>
    </xdr:sp>
    <xdr:clientData/>
  </xdr:twoCellAnchor>
  <xdr:twoCellAnchor>
    <xdr:from>
      <xdr:col>0</xdr:col>
      <xdr:colOff>243840</xdr:colOff>
      <xdr:row>16</xdr:row>
      <xdr:rowOff>22860</xdr:rowOff>
    </xdr:from>
    <xdr:to>
      <xdr:col>3</xdr:col>
      <xdr:colOff>205740</xdr:colOff>
      <xdr:row>23</xdr:row>
      <xdr:rowOff>144780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7D176D6-A7FA-F85B-F994-0E1D78D3E872}"/>
            </a:ext>
          </a:extLst>
        </xdr:cNvPr>
        <xdr:cNvSpPr/>
      </xdr:nvSpPr>
      <xdr:spPr>
        <a:xfrm>
          <a:off x="243840" y="2948940"/>
          <a:ext cx="1790700" cy="14020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/>
            <a:t>Credit Sales</a:t>
          </a:r>
        </a:p>
      </xdr:txBody>
    </xdr:sp>
    <xdr:clientData/>
  </xdr:twoCellAnchor>
  <xdr:twoCellAnchor>
    <xdr:from>
      <xdr:col>0</xdr:col>
      <xdr:colOff>480060</xdr:colOff>
      <xdr:row>19</xdr:row>
      <xdr:rowOff>114300</xdr:rowOff>
    </xdr:from>
    <xdr:to>
      <xdr:col>2</xdr:col>
      <xdr:colOff>601980</xdr:colOff>
      <xdr:row>22</xdr:row>
      <xdr:rowOff>121920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E1972D0-8D67-020E-4927-3FD6246CBA16}"/>
            </a:ext>
          </a:extLst>
        </xdr:cNvPr>
        <xdr:cNvSpPr txBox="1"/>
      </xdr:nvSpPr>
      <xdr:spPr>
        <a:xfrm>
          <a:off x="480060" y="3589020"/>
          <a:ext cx="1341120" cy="556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1697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0</xdr:col>
      <xdr:colOff>320040</xdr:colOff>
      <xdr:row>26</xdr:row>
      <xdr:rowOff>0</xdr:rowOff>
    </xdr:from>
    <xdr:to>
      <xdr:col>3</xdr:col>
      <xdr:colOff>160020</xdr:colOff>
      <xdr:row>33</xdr:row>
      <xdr:rowOff>106680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128FAB3-DD79-485F-4735-043C1904D47E}"/>
            </a:ext>
          </a:extLst>
        </xdr:cNvPr>
        <xdr:cNvSpPr/>
      </xdr:nvSpPr>
      <xdr:spPr>
        <a:xfrm>
          <a:off x="320040" y="4754880"/>
          <a:ext cx="1668780" cy="13868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/>
            <a:t>Debit Sales</a:t>
          </a:r>
        </a:p>
      </xdr:txBody>
    </xdr:sp>
    <xdr:clientData/>
  </xdr:twoCellAnchor>
  <xdr:twoCellAnchor>
    <xdr:from>
      <xdr:col>0</xdr:col>
      <xdr:colOff>480060</xdr:colOff>
      <xdr:row>29</xdr:row>
      <xdr:rowOff>152400</xdr:rowOff>
    </xdr:from>
    <xdr:to>
      <xdr:col>2</xdr:col>
      <xdr:colOff>601980</xdr:colOff>
      <xdr:row>32</xdr:row>
      <xdr:rowOff>91440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C62203-1CD2-C27C-A77F-A5C940DECA2B}"/>
            </a:ext>
          </a:extLst>
        </xdr:cNvPr>
        <xdr:cNvSpPr txBox="1"/>
      </xdr:nvSpPr>
      <xdr:spPr>
        <a:xfrm>
          <a:off x="480060" y="5455920"/>
          <a:ext cx="1341120" cy="487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1197</a:t>
          </a:r>
          <a:r>
            <a:rPr lang="en-IN" sz="3200">
              <a:effectLst/>
            </a:rPr>
            <a:t> </a:t>
          </a:r>
          <a:endParaRPr lang="en-IN" sz="3200"/>
        </a:p>
      </xdr:txBody>
    </xdr:sp>
    <xdr:clientData/>
  </xdr:twoCellAnchor>
  <xdr:twoCellAnchor>
    <xdr:from>
      <xdr:col>0</xdr:col>
      <xdr:colOff>297180</xdr:colOff>
      <xdr:row>35</xdr:row>
      <xdr:rowOff>99060</xdr:rowOff>
    </xdr:from>
    <xdr:to>
      <xdr:col>3</xdr:col>
      <xdr:colOff>137160</xdr:colOff>
      <xdr:row>43</xdr:row>
      <xdr:rowOff>22860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C7D1EB9-BA93-45F4-8DC8-773307745D83}"/>
            </a:ext>
          </a:extLst>
        </xdr:cNvPr>
        <xdr:cNvSpPr/>
      </xdr:nvSpPr>
      <xdr:spPr>
        <a:xfrm>
          <a:off x="297180" y="6499860"/>
          <a:ext cx="1668780" cy="13868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 b="1"/>
            <a:t>UPI</a:t>
          </a:r>
        </a:p>
      </xdr:txBody>
    </xdr:sp>
    <xdr:clientData/>
  </xdr:twoCellAnchor>
  <xdr:twoCellAnchor>
    <xdr:from>
      <xdr:col>0</xdr:col>
      <xdr:colOff>449580</xdr:colOff>
      <xdr:row>39</xdr:row>
      <xdr:rowOff>83820</xdr:rowOff>
    </xdr:from>
    <xdr:to>
      <xdr:col>2</xdr:col>
      <xdr:colOff>556260</xdr:colOff>
      <xdr:row>42</xdr:row>
      <xdr:rowOff>22860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CFE7D7C-CDEB-97C5-E644-766AFA79074D}"/>
            </a:ext>
          </a:extLst>
        </xdr:cNvPr>
        <xdr:cNvSpPr txBox="1"/>
      </xdr:nvSpPr>
      <xdr:spPr>
        <a:xfrm>
          <a:off x="449580" y="7216140"/>
          <a:ext cx="1325880" cy="487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1694</a:t>
          </a:r>
          <a:r>
            <a:rPr lang="en-IN" sz="3200">
              <a:effectLst/>
            </a:rPr>
            <a:t> </a:t>
          </a:r>
          <a:endParaRPr lang="en-IN" sz="3200"/>
        </a:p>
      </xdr:txBody>
    </xdr:sp>
    <xdr:clientData/>
  </xdr:twoCellAnchor>
  <xdr:twoCellAnchor editAs="oneCell">
    <xdr:from>
      <xdr:col>13</xdr:col>
      <xdr:colOff>236220</xdr:colOff>
      <xdr:row>4</xdr:row>
      <xdr:rowOff>60960</xdr:rowOff>
    </xdr:from>
    <xdr:to>
      <xdr:col>18</xdr:col>
      <xdr:colOff>525780</xdr:colOff>
      <xdr:row>11</xdr:row>
      <xdr:rowOff>152400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0" name="AmountDate 1">
              <a:extLst>
                <a:ext uri="{FF2B5EF4-FFF2-40B4-BE49-F238E27FC236}">
                  <a16:creationId xmlns:a16="http://schemas.microsoft.com/office/drawing/2014/main" id="{FE147B04-C432-4895-8330-14CD13057F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Amount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61020" y="79248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4</xdr:col>
      <xdr:colOff>312420</xdr:colOff>
      <xdr:row>4</xdr:row>
      <xdr:rowOff>7620</xdr:rowOff>
    </xdr:from>
    <xdr:to>
      <xdr:col>12</xdr:col>
      <xdr:colOff>7620</xdr:colOff>
      <xdr:row>19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04BCE5B-462A-4997-8402-8C77FB3FD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365760</xdr:colOff>
      <xdr:row>23</xdr:row>
      <xdr:rowOff>60960</xdr:rowOff>
    </xdr:from>
    <xdr:to>
      <xdr:col>12</xdr:col>
      <xdr:colOff>60960</xdr:colOff>
      <xdr:row>38</xdr:row>
      <xdr:rowOff>60960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B88384D-4818-41B6-8FB2-18883EDA3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396240</xdr:colOff>
      <xdr:row>22</xdr:row>
      <xdr:rowOff>167640</xdr:rowOff>
    </xdr:from>
    <xdr:to>
      <xdr:col>20</xdr:col>
      <xdr:colOff>53340</xdr:colOff>
      <xdr:row>38</xdr:row>
      <xdr:rowOff>76200</xdr:rowOff>
    </xdr:to>
    <xdr:sp macro="" textlink="">
      <xdr:nvSpPr>
        <xdr:cNvPr id="13" name="Rectangle: Top Corners One Rounded and One Snipped 12">
          <a:extLst>
            <a:ext uri="{FF2B5EF4-FFF2-40B4-BE49-F238E27FC236}">
              <a16:creationId xmlns:a16="http://schemas.microsoft.com/office/drawing/2014/main" id="{FB0DF722-A3CC-893D-8B4B-64F90D658F9E}"/>
            </a:ext>
          </a:extLst>
        </xdr:cNvPr>
        <xdr:cNvSpPr/>
      </xdr:nvSpPr>
      <xdr:spPr>
        <a:xfrm>
          <a:off x="8321040" y="4191000"/>
          <a:ext cx="3924300" cy="2834640"/>
        </a:xfrm>
        <a:prstGeom prst="snip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2000"/>
            <a:t>INSIGHTS:-</a:t>
          </a:r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r>
            <a:rPr lang="en-IN" sz="1800"/>
            <a:t>Th</a:t>
          </a:r>
          <a:r>
            <a:rPr lang="en-IN" sz="1800" baseline="0"/>
            <a:t>e UPI sales is high among all 4 Payment Method.</a:t>
          </a:r>
        </a:p>
        <a:p>
          <a:pPr algn="l"/>
          <a:r>
            <a:rPr lang="en-IN" sz="1800" baseline="0"/>
            <a:t>The high price ammount is Vada Paav</a:t>
          </a:r>
        </a:p>
        <a:p>
          <a:pPr algn="l"/>
          <a:r>
            <a:rPr lang="en-IN" sz="1800" baseline="0"/>
            <a:t>All the products are delivered</a:t>
          </a:r>
        </a:p>
        <a:p>
          <a:pPr algn="l"/>
          <a:r>
            <a:rPr lang="en-IN" sz="1800" baseline="0"/>
            <a:t>Cash ration is very low that people nowdays don't want to pay in cash </a:t>
          </a:r>
          <a:endParaRPr lang="en-IN" sz="1800"/>
        </a:p>
      </xdr:txBody>
    </xdr:sp>
    <xdr:clientData/>
  </xdr:twoCellAnchor>
  <xdr:twoCellAnchor>
    <xdr:from>
      <xdr:col>0</xdr:col>
      <xdr:colOff>320040</xdr:colOff>
      <xdr:row>44</xdr:row>
      <xdr:rowOff>83820</xdr:rowOff>
    </xdr:from>
    <xdr:to>
      <xdr:col>3</xdr:col>
      <xdr:colOff>160020</xdr:colOff>
      <xdr:row>52</xdr:row>
      <xdr:rowOff>7620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D2622B1D-C637-4AFF-9862-EDC9769ABD3B}"/>
            </a:ext>
          </a:extLst>
        </xdr:cNvPr>
        <xdr:cNvSpPr/>
      </xdr:nvSpPr>
      <xdr:spPr>
        <a:xfrm>
          <a:off x="320040" y="8130540"/>
          <a:ext cx="1668780" cy="13868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Min</a:t>
          </a:r>
          <a:r>
            <a:rPr lang="en-IN" sz="2800" b="1" baseline="0"/>
            <a:t> Amt</a:t>
          </a:r>
          <a:endParaRPr lang="en-IN" sz="2800" b="1"/>
        </a:p>
      </xdr:txBody>
    </xdr:sp>
    <xdr:clientData/>
  </xdr:twoCellAnchor>
  <xdr:twoCellAnchor>
    <xdr:from>
      <xdr:col>0</xdr:col>
      <xdr:colOff>312420</xdr:colOff>
      <xdr:row>53</xdr:row>
      <xdr:rowOff>22860</xdr:rowOff>
    </xdr:from>
    <xdr:to>
      <xdr:col>3</xdr:col>
      <xdr:colOff>152400</xdr:colOff>
      <xdr:row>60</xdr:row>
      <xdr:rowOff>129540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7EADE582-6133-48A7-8400-1F2C583FADBD}"/>
            </a:ext>
          </a:extLst>
        </xdr:cNvPr>
        <xdr:cNvSpPr/>
      </xdr:nvSpPr>
      <xdr:spPr>
        <a:xfrm>
          <a:off x="312420" y="9715500"/>
          <a:ext cx="1668780" cy="13868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800" b="1"/>
            <a:t>Max</a:t>
          </a:r>
          <a:r>
            <a:rPr lang="en-IN" sz="2800" b="1" baseline="0"/>
            <a:t> Amt</a:t>
          </a:r>
          <a:endParaRPr lang="en-IN" sz="2800" b="1"/>
        </a:p>
      </xdr:txBody>
    </xdr:sp>
    <xdr:clientData/>
  </xdr:twoCellAnchor>
  <xdr:twoCellAnchor>
    <xdr:from>
      <xdr:col>0</xdr:col>
      <xdr:colOff>320040</xdr:colOff>
      <xdr:row>61</xdr:row>
      <xdr:rowOff>152400</xdr:rowOff>
    </xdr:from>
    <xdr:to>
      <xdr:col>3</xdr:col>
      <xdr:colOff>160020</xdr:colOff>
      <xdr:row>69</xdr:row>
      <xdr:rowOff>76200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4342B4B-F7AA-47C8-BD3A-65BC7EFB3E7E}"/>
            </a:ext>
          </a:extLst>
        </xdr:cNvPr>
        <xdr:cNvSpPr/>
      </xdr:nvSpPr>
      <xdr:spPr>
        <a:xfrm>
          <a:off x="320040" y="11308080"/>
          <a:ext cx="1668780" cy="13868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200" b="1"/>
            <a:t>Avg</a:t>
          </a:r>
          <a:r>
            <a:rPr lang="en-IN" sz="3200" b="1" baseline="0"/>
            <a:t> Amt</a:t>
          </a:r>
          <a:endParaRPr lang="en-IN" sz="3200" b="1"/>
        </a:p>
      </xdr:txBody>
    </xdr:sp>
    <xdr:clientData/>
  </xdr:twoCellAnchor>
  <xdr:twoCellAnchor>
    <xdr:from>
      <xdr:col>0</xdr:col>
      <xdr:colOff>502920</xdr:colOff>
      <xdr:row>48</xdr:row>
      <xdr:rowOff>53340</xdr:rowOff>
    </xdr:from>
    <xdr:to>
      <xdr:col>2</xdr:col>
      <xdr:colOff>594360</xdr:colOff>
      <xdr:row>50</xdr:row>
      <xdr:rowOff>167640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220DD5A-4341-A8AC-3D21-3E4A4B9831BA}"/>
            </a:ext>
          </a:extLst>
        </xdr:cNvPr>
        <xdr:cNvSpPr txBox="1"/>
      </xdr:nvSpPr>
      <xdr:spPr>
        <a:xfrm>
          <a:off x="502920" y="8831580"/>
          <a:ext cx="1310640" cy="480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149</a:t>
          </a:r>
          <a:r>
            <a:rPr lang="en-IN" sz="3600">
              <a:effectLst/>
            </a:rPr>
            <a:t> </a:t>
          </a:r>
          <a:endParaRPr lang="en-IN" sz="3600"/>
        </a:p>
      </xdr:txBody>
    </xdr:sp>
    <xdr:clientData/>
  </xdr:twoCellAnchor>
  <xdr:twoCellAnchor>
    <xdr:from>
      <xdr:col>0</xdr:col>
      <xdr:colOff>457200</xdr:colOff>
      <xdr:row>56</xdr:row>
      <xdr:rowOff>144780</xdr:rowOff>
    </xdr:from>
    <xdr:to>
      <xdr:col>2</xdr:col>
      <xdr:colOff>594360</xdr:colOff>
      <xdr:row>60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38F695C-93DD-C91C-7777-CA0D3A471C3D}"/>
            </a:ext>
          </a:extLst>
        </xdr:cNvPr>
        <xdr:cNvSpPr txBox="1"/>
      </xdr:nvSpPr>
      <xdr:spPr>
        <a:xfrm>
          <a:off x="457200" y="10386060"/>
          <a:ext cx="1356360" cy="586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6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699</a:t>
          </a:r>
          <a:r>
            <a:rPr lang="en-IN" sz="3600">
              <a:effectLst/>
            </a:rPr>
            <a:t> </a:t>
          </a:r>
          <a:endParaRPr lang="en-IN" sz="3600"/>
        </a:p>
      </xdr:txBody>
    </xdr:sp>
    <xdr:clientData/>
  </xdr:twoCellAnchor>
  <xdr:twoCellAnchor>
    <xdr:from>
      <xdr:col>0</xdr:col>
      <xdr:colOff>480060</xdr:colOff>
      <xdr:row>65</xdr:row>
      <xdr:rowOff>167640</xdr:rowOff>
    </xdr:from>
    <xdr:to>
      <xdr:col>3</xdr:col>
      <xdr:colOff>0</xdr:colOff>
      <xdr:row>68</xdr:row>
      <xdr:rowOff>91440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623CFF1-6C19-3E89-AD14-5B1C0DB22628}"/>
            </a:ext>
          </a:extLst>
        </xdr:cNvPr>
        <xdr:cNvSpPr txBox="1"/>
      </xdr:nvSpPr>
      <xdr:spPr>
        <a:xfrm>
          <a:off x="480060" y="12054840"/>
          <a:ext cx="1348740" cy="472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355.66</a:t>
          </a:r>
          <a:endParaRPr lang="en-IN" sz="32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0</xdr:row>
      <xdr:rowOff>68580</xdr:rowOff>
    </xdr:from>
    <xdr:to>
      <xdr:col>17</xdr:col>
      <xdr:colOff>457200</xdr:colOff>
      <xdr:row>13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D205D-1BAB-B9E4-1E5F-3C5DB3EE4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7620</xdr:rowOff>
    </xdr:from>
    <xdr:to>
      <xdr:col>11</xdr:col>
      <xdr:colOff>457200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AA90E-4A67-4ECA-AC28-5082891F2A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365760</xdr:colOff>
      <xdr:row>2</xdr:row>
      <xdr:rowOff>99060</xdr:rowOff>
    </xdr:from>
    <xdr:to>
      <xdr:col>3</xdr:col>
      <xdr:colOff>297180</xdr:colOff>
      <xdr:row>8</xdr:row>
      <xdr:rowOff>144780</xdr:rowOff>
    </xdr:to>
    <xdr:sp macro="" textlink="">
      <xdr:nvSpPr>
        <xdr:cNvPr id="3" name="Rectangle: Diagonal Corners Rounded 2">
          <a:extLst>
            <a:ext uri="{FF2B5EF4-FFF2-40B4-BE49-F238E27FC236}">
              <a16:creationId xmlns:a16="http://schemas.microsoft.com/office/drawing/2014/main" id="{EA5A056F-A6CC-A948-CF98-83E2597EEFFC}"/>
            </a:ext>
          </a:extLst>
        </xdr:cNvPr>
        <xdr:cNvSpPr/>
      </xdr:nvSpPr>
      <xdr:spPr>
        <a:xfrm>
          <a:off x="365760" y="464820"/>
          <a:ext cx="1760220" cy="1143000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/>
            <a:t>Total  Revenue</a:t>
          </a:r>
        </a:p>
      </xdr:txBody>
    </xdr:sp>
    <xdr:clientData/>
  </xdr:twoCellAnchor>
  <xdr:twoCellAnchor>
    <xdr:from>
      <xdr:col>0</xdr:col>
      <xdr:colOff>495300</xdr:colOff>
      <xdr:row>5</xdr:row>
      <xdr:rowOff>83820</xdr:rowOff>
    </xdr:from>
    <xdr:to>
      <xdr:col>3</xdr:col>
      <xdr:colOff>152400</xdr:colOff>
      <xdr:row>7</xdr:row>
      <xdr:rowOff>144780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EBF2CD-1EB6-0AAF-3412-7E55BFEDA70B}"/>
            </a:ext>
          </a:extLst>
        </xdr:cNvPr>
        <xdr:cNvSpPr txBox="1"/>
      </xdr:nvSpPr>
      <xdr:spPr>
        <a:xfrm>
          <a:off x="495300" y="998220"/>
          <a:ext cx="1485900" cy="42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74,15,000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0</xdr:row>
      <xdr:rowOff>209550</xdr:rowOff>
    </xdr:from>
    <xdr:to>
      <xdr:col>10</xdr:col>
      <xdr:colOff>327660</xdr:colOff>
      <xdr:row>15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756E554-C135-0C1C-6AF4-EF86D8399D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1680" y="209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 Purohit" refreshedDate="46267.656823958336" createdVersion="8" refreshedVersion="8" minRefreshableVersion="3" recordCount="15" xr:uid="{FC0D087C-6773-44A1-B165-4341B8346647}">
  <cacheSource type="worksheet">
    <worksheetSource name="Zomato_food"/>
  </cacheSource>
  <cacheFields count="8">
    <cacheField name="OrderID" numFmtId="0">
      <sharedItems/>
    </cacheField>
    <cacheField name="UserID" numFmtId="0">
      <sharedItems/>
    </cacheField>
    <cacheField name="AmountDate" numFmtId="14">
      <sharedItems containsSemiMixedTypes="0" containsNonDate="0" containsDate="1" containsString="0" minDate="2026-08-01T00:00:00" maxDate="2026-08-31T00:00:00" count="15">
        <d v="2026-08-01T00:00:00"/>
        <d v="2026-08-03T00:00:00"/>
        <d v="2026-08-05T00:00:00"/>
        <d v="2026-08-07T00:00:00"/>
        <d v="2026-08-09T00:00:00"/>
        <d v="2026-08-12T00:00:00"/>
        <d v="2026-08-14T00:00:00"/>
        <d v="2026-08-16T00:00:00"/>
        <d v="2026-08-18T00:00:00"/>
        <d v="2026-08-20T00:00:00"/>
        <d v="2026-08-22T00:00:00"/>
        <d v="2026-08-24T00:00:00"/>
        <d v="2026-08-26T00:00:00"/>
        <d v="2026-08-28T00:00:00"/>
        <d v="2026-08-30T00:00:00"/>
      </sharedItems>
    </cacheField>
    <cacheField name="Restaurant" numFmtId="0">
      <sharedItems/>
    </cacheField>
    <cacheField name="Items" numFmtId="0">
      <sharedItems/>
    </cacheField>
    <cacheField name="Amount" numFmtId="0">
      <sharedItems containsSemiMixedTypes="0" containsString="0" containsNumber="1" containsInteger="1" minValue="149" maxValue="699"/>
    </cacheField>
    <cacheField name="PaymentMethod" numFmtId="0">
      <sharedItems count="4">
        <s v="UPI"/>
        <s v="Credit Card"/>
        <s v="Cash"/>
        <s v="Debit Card"/>
      </sharedItems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 pivotCacheId="26840556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 Purohit" refreshedDate="46267.700848958331" createdVersion="8" refreshedVersion="8" minRefreshableVersion="3" recordCount="7" xr:uid="{CF84C34C-3245-4512-B18D-42E06BC2297B}">
  <cacheSource type="worksheet">
    <worksheetSource ref="A1:E8" sheet="Sheet3"/>
  </cacheSource>
  <cacheFields count="5">
    <cacheField name="Cuisine" numFmtId="0">
      <sharedItems count="7">
        <s v="Indian"/>
        <s v="Chinese"/>
        <s v="Italian"/>
        <s v="Mexican"/>
        <s v="Japanese"/>
        <s v="American"/>
        <s v="Thai"/>
      </sharedItems>
    </cacheField>
    <cacheField name="Orders" numFmtId="3">
      <sharedItems containsSemiMixedTypes="0" containsString="0" containsNumber="1" containsInteger="1" minValue="2800" maxValue="12500"/>
    </cacheField>
    <cacheField name="Revenue (₹)" numFmtId="3">
      <sharedItems containsSemiMixedTypes="0" containsString="0" containsNumber="1" containsInteger="1" minValue="560000" maxValue="1875000"/>
    </cacheField>
    <cacheField name="Top Dish" numFmtId="0">
      <sharedItems/>
    </cacheField>
    <cacheField name="Avg Delivery Time (mins)" numFmtId="0">
      <sharedItems containsSemiMixedTypes="0" containsString="0" containsNumber="1" containsInteger="1" minValue="27" maxValue="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ZMT1001"/>
    <s v="U12345"/>
    <x v="0"/>
    <s v="Domino's Pizza"/>
    <s v="Cheese Burst Pizza"/>
    <n v="499"/>
    <x v="0"/>
    <s v="Delivered"/>
  </r>
  <r>
    <s v="ZMT1002"/>
    <s v="U12345"/>
    <x v="1"/>
    <s v="KFC"/>
    <s v="Chicken Bucket"/>
    <n v="699"/>
    <x v="1"/>
    <s v="Delivered"/>
  </r>
  <r>
    <s v="ZMT1003"/>
    <s v="U12345"/>
    <x v="2"/>
    <s v="Pizza Hut"/>
    <s v="Margherita Pizza"/>
    <n v="399"/>
    <x v="0"/>
    <s v="Delivered"/>
  </r>
  <r>
    <s v="ZMT1004"/>
    <s v="U12345"/>
    <x v="3"/>
    <s v="Biryani House"/>
    <s v="Chicken Biryani"/>
    <n v="299"/>
    <x v="2"/>
    <s v="Delivered"/>
  </r>
  <r>
    <s v="ZMT1005"/>
    <s v="U12345"/>
    <x v="4"/>
    <s v="Subway"/>
    <s v="Veggie Delight"/>
    <n v="249"/>
    <x v="3"/>
    <s v="Delivered"/>
  </r>
  <r>
    <s v="ZMT1006"/>
    <s v="U12345"/>
    <x v="5"/>
    <s v="McDonald's"/>
    <s v="McAloo Tikki Burger"/>
    <n v="149"/>
    <x v="0"/>
    <s v="Delivered"/>
  </r>
  <r>
    <s v="ZMT1007"/>
    <s v="U12345"/>
    <x v="6"/>
    <s v="Barbeque Nation"/>
    <s v="Paneer Tikka"/>
    <n v="599"/>
    <x v="1"/>
    <s v="Delivered"/>
  </r>
  <r>
    <s v="ZMT1008"/>
    <s v="U12345"/>
    <x v="7"/>
    <s v="Starbucks"/>
    <s v="Cappuccino"/>
    <n v="199"/>
    <x v="0"/>
    <s v="Delivered"/>
  </r>
  <r>
    <s v="ZMT1009"/>
    <s v="U12345"/>
    <x v="8"/>
    <s v="Domino's Pizza"/>
    <s v="Garlic Breadsticks"/>
    <n v="199"/>
    <x v="2"/>
    <s v="Delivered"/>
  </r>
  <r>
    <s v="ZMT1010"/>
    <s v="U12345"/>
    <x v="9"/>
    <s v="Subway"/>
    <s v="Chicken Teriyaki Sub"/>
    <n v="349"/>
    <x v="3"/>
    <s v="Delivered"/>
  </r>
  <r>
    <s v="ZMT1011"/>
    <s v="U12345"/>
    <x v="10"/>
    <s v="KFC"/>
    <s v="Zinger Burger"/>
    <n v="249"/>
    <x v="0"/>
    <s v="Delivered"/>
  </r>
  <r>
    <s v="ZMT1012"/>
    <s v="U12345"/>
    <x v="11"/>
    <s v="Biryani House"/>
    <s v="Mutton Biryani"/>
    <n v="399"/>
    <x v="1"/>
    <s v="Delivered"/>
  </r>
  <r>
    <s v="ZMT1013"/>
    <s v="U12345"/>
    <x v="12"/>
    <s v="McDonald's"/>
    <s v="Fries + Coke Combo"/>
    <n v="199"/>
    <x v="0"/>
    <s v="Delivered"/>
  </r>
  <r>
    <s v="ZMT1014"/>
    <s v="U12345"/>
    <x v="13"/>
    <s v="Pizza Hut"/>
    <s v="Stuffed Crust Pizza"/>
    <n v="599"/>
    <x v="3"/>
    <s v="Delivered"/>
  </r>
  <r>
    <s v="ZMT1015"/>
    <s v="U12345"/>
    <x v="14"/>
    <s v="Starbucks"/>
    <s v="Cold Brew Coffee"/>
    <n v="249"/>
    <x v="2"/>
    <s v="Deliver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12500"/>
    <n v="1875000"/>
    <s v="Vada Paav"/>
    <n v="32"/>
  </r>
  <r>
    <x v="1"/>
    <n v="9800"/>
    <n v="1420000"/>
    <s v="Hakka Noodles"/>
    <n v="28"/>
  </r>
  <r>
    <x v="2"/>
    <n v="7600"/>
    <n v="1210000"/>
    <s v="Margherita Pizza"/>
    <n v="30"/>
  </r>
  <r>
    <x v="3"/>
    <n v="5400"/>
    <n v="810000"/>
    <s v="Tacos"/>
    <n v="27"/>
  </r>
  <r>
    <x v="4"/>
    <n v="3200"/>
    <n v="640000"/>
    <s v="Sushi Rolls"/>
    <n v="35"/>
  </r>
  <r>
    <x v="5"/>
    <n v="4500"/>
    <n v="900000"/>
    <s v="Burgers"/>
    <n v="29"/>
  </r>
  <r>
    <x v="6"/>
    <n v="2800"/>
    <n v="560000"/>
    <s v="Pad Thai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97AB6-753A-4600-90A0-716B794D3147}" name="PivotTable4" cacheId="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10">
  <location ref="L37:M42" firstHeaderRow="1" firstDataRow="1" firstDataCol="1"/>
  <pivotFields count="8">
    <pivotField showAll="0"/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dataField="1" showAll="0"/>
    <pivotField axis="axisRow" showAll="0">
      <items count="5">
        <item x="2"/>
        <item x="1"/>
        <item x="3"/>
        <item x="0"/>
        <item t="default"/>
      </items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5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C20A7-218A-4FF5-AEBC-BFE7E602617C}" name="PivotTable3" cacheId="2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4">
  <location ref="L16:M32" firstHeaderRow="1" firstDataRow="1" firstDataCol="1"/>
  <pivotFields count="8">
    <pivotField showAll="0"/>
    <pivotField showAll="0"/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dataField="1" showAll="0"/>
    <pivotField showAll="0">
      <items count="5">
        <item x="2"/>
        <item x="1"/>
        <item x="3"/>
        <item x="0"/>
        <item t="default"/>
      </items>
    </pivotField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Amount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8AE4B-AE29-467E-87EC-76CB8144005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P9" firstHeaderRow="1" firstDataRow="1" firstDataCol="1"/>
  <pivotFields count="8">
    <pivotField showAll="0"/>
    <pivotField showAll="0"/>
    <pivotField numFmtId="14" showAll="0"/>
    <pivotField showAll="0"/>
    <pivotField showAll="0"/>
    <pivotField dataField="1" showAll="0"/>
    <pivotField axis="axisRow" showAll="0">
      <items count="5">
        <item x="2"/>
        <item x="1"/>
        <item x="3"/>
        <item x="0"/>
        <item t="default"/>
      </items>
    </pivotField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6BC44-5584-4DEB-AEA5-578CA7DC1F5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4:L5" firstHeaderRow="1" firstDataRow="1" firstDataCol="0"/>
  <pivotFields count="8">
    <pivotField showAll="0"/>
    <pivotField showAll="0"/>
    <pivotField numFmtId="14"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Average of Amount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00B35-1FDF-48D4-8A68-BBAD7389A7AB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7:A18" firstHeaderRow="1" firstDataRow="1" firstDataCol="0"/>
  <pivotFields count="5">
    <pivotField showAll="0">
      <items count="8">
        <item x="5"/>
        <item x="1"/>
        <item x="0"/>
        <item x="2"/>
        <item x="4"/>
        <item x="3"/>
        <item x="6"/>
        <item t="default"/>
      </items>
    </pivotField>
    <pivotField numFmtId="3" showAll="0"/>
    <pivotField dataField="1" numFmtId="3" showAll="0"/>
    <pivotField showAll="0"/>
    <pivotField showAll="0"/>
  </pivotFields>
  <rowItems count="1">
    <i/>
  </rowItems>
  <colItems count="1">
    <i/>
  </colItems>
  <dataFields count="1">
    <dataField name="Sum of Revenue (₹)" fld="2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F0CD2-7FAC-423B-88BE-CD81F23D801A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I3:J11" firstHeaderRow="1" firstDataRow="1" firstDataCol="1"/>
  <pivotFields count="5">
    <pivotField axis="axisRow" showAll="0">
      <items count="8">
        <item x="5"/>
        <item x="1"/>
        <item x="0"/>
        <item x="2"/>
        <item x="4"/>
        <item x="3"/>
        <item x="6"/>
        <item t="default"/>
      </items>
    </pivotField>
    <pivotField numFmtId="3" showAll="0"/>
    <pivotField dataField="1" numFmtId="3"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 (₹)" fld="2" baseField="0" baseItem="0" numFmtId="3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E818C9-DD3B-4421-BCC9-BEA515E43291}" autoFormatId="16" applyNumberFormats="0" applyBorderFormats="0" applyFontFormats="0" applyPatternFormats="0" applyAlignmentFormats="0" applyWidthHeightFormats="0">
  <queryTableRefresh nextId="9">
    <queryTableFields count="8">
      <queryTableField id="1" name="OrderID" tableColumnId="1"/>
      <queryTableField id="2" name="UserID" tableColumnId="2"/>
      <queryTableField id="3" name="AmountDate" tableColumnId="3"/>
      <queryTableField id="4" name="Restaurant" tableColumnId="4"/>
      <queryTableField id="5" name="Items" tableColumnId="5"/>
      <queryTableField id="6" name="Amount" tableColumnId="6"/>
      <queryTableField id="7" name="PaymentMethod" tableColumnId="7"/>
      <queryTableField id="8" name="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B6F9B-B6D8-4C86-9065-52580A5920FD}" name="Zomato_food" displayName="Zomato_food" ref="A1:H16" tableType="queryTable" totalsRowShown="0">
  <autoFilter ref="A1:H16" xr:uid="{9D2B6F9B-B6D8-4C86-9065-52580A5920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85F4DA4-64C9-4DEF-B387-FBE448257DEC}" uniqueName="1" name="OrderID" queryTableFieldId="1" dataDxfId="6"/>
    <tableColumn id="2" xr3:uid="{0E3817EC-72FB-4426-8074-B490D5558154}" uniqueName="2" name="UserID" queryTableFieldId="2" dataDxfId="5"/>
    <tableColumn id="3" xr3:uid="{B6223190-154F-40BC-A9EC-2B0CBD18BE64}" uniqueName="3" name="AmountDate" queryTableFieldId="3" dataDxfId="4"/>
    <tableColumn id="4" xr3:uid="{E34BC5E9-4327-40B1-AC3F-16B25703D996}" uniqueName="4" name="Restaurant" queryTableFieldId="4" dataDxfId="3"/>
    <tableColumn id="5" xr3:uid="{EACC90D8-5715-44A0-967C-9C83FC85F458}" uniqueName="5" name="Items" queryTableFieldId="5" dataDxfId="2"/>
    <tableColumn id="6" xr3:uid="{F7BE5B16-5E2F-4BA5-8510-2A4C3EEB5155}" uniqueName="6" name="Amount" queryTableFieldId="6"/>
    <tableColumn id="7" xr3:uid="{73B48B64-06B0-440B-8133-3CFF362028DE}" uniqueName="7" name="PaymentMethod" queryTableFieldId="7" dataDxfId="1"/>
    <tableColumn id="8" xr3:uid="{F5B4527C-9F4C-4892-A7E8-D8043A7968A8}" uniqueName="8" name="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AmountDate" xr10:uid="{CDB17461-DDE5-42A2-AF46-57CB794E3C7D}" sourceName="AmountDate">
  <pivotTables>
    <pivotTable tabId="1" name="PivotTable3"/>
    <pivotTable tabId="1" name="PivotTable4"/>
  </pivotTables>
  <state minimalRefreshVersion="6" lastRefreshVersion="6" pivotCacheId="268405569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AmountDate" xr10:uid="{30430C01-6FF5-4374-9EA2-0FB911F359A7}" cache="NativeTimeline_AmountDate" caption="AmountDate" level="2" selectionLevel="2" scrollPosition="2026-05-19T00:00:00" style="TimeSlicerStyleLight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AmountDate 1" xr10:uid="{F583971F-03AE-4146-9333-292BE304197F}" cache="NativeTimeline_AmountDate" caption="AmountDate" level="2" selectionLevel="2" scrollPosition="2026-05-19T00:00:00" style="TimeSlicerStyleLight2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11/relationships/timeline" Target="../timelines/timelin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D2D5-344E-43A2-A9F4-2B2BA5BE3E09}">
  <dimension ref="A1:P42"/>
  <sheetViews>
    <sheetView workbookViewId="0">
      <selection activeCell="L5" sqref="L5"/>
    </sheetView>
  </sheetViews>
  <sheetFormatPr defaultRowHeight="14.4" x14ac:dyDescent="0.3"/>
  <cols>
    <col min="1" max="1" width="9.77734375" bestFit="1" customWidth="1"/>
    <col min="3" max="3" width="13.5546875" bestFit="1" customWidth="1"/>
    <col min="4" max="4" width="14.5546875" bestFit="1" customWidth="1"/>
    <col min="5" max="5" width="17.5546875" bestFit="1" customWidth="1"/>
    <col min="6" max="6" width="9.6640625" bestFit="1" customWidth="1"/>
    <col min="7" max="7" width="16.88671875" bestFit="1" customWidth="1"/>
    <col min="12" max="12" width="16.33203125" bestFit="1" customWidth="1"/>
    <col min="13" max="13" width="13.5546875" bestFit="1" customWidth="1"/>
    <col min="15" max="15" width="12.44140625" bestFit="1" customWidth="1"/>
    <col min="16" max="16" width="13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6" x14ac:dyDescent="0.3">
      <c r="A2" t="s">
        <v>8</v>
      </c>
      <c r="B2" t="s">
        <v>9</v>
      </c>
      <c r="C2" s="1">
        <v>46235</v>
      </c>
      <c r="D2" t="s">
        <v>10</v>
      </c>
      <c r="E2" t="s">
        <v>11</v>
      </c>
      <c r="F2">
        <v>499</v>
      </c>
      <c r="G2" t="s">
        <v>12</v>
      </c>
      <c r="H2" t="s">
        <v>13</v>
      </c>
    </row>
    <row r="3" spans="1:16" x14ac:dyDescent="0.3">
      <c r="A3" t="s">
        <v>14</v>
      </c>
      <c r="B3" t="s">
        <v>9</v>
      </c>
      <c r="C3" s="1">
        <v>46237</v>
      </c>
      <c r="D3" t="s">
        <v>15</v>
      </c>
      <c r="E3" t="s">
        <v>55</v>
      </c>
      <c r="F3">
        <v>699</v>
      </c>
      <c r="G3" t="s">
        <v>16</v>
      </c>
      <c r="H3" t="s">
        <v>13</v>
      </c>
    </row>
    <row r="4" spans="1:16" x14ac:dyDescent="0.3">
      <c r="A4" t="s">
        <v>17</v>
      </c>
      <c r="B4" t="s">
        <v>9</v>
      </c>
      <c r="C4" s="1">
        <v>46239</v>
      </c>
      <c r="D4" t="s">
        <v>18</v>
      </c>
      <c r="E4" t="s">
        <v>19</v>
      </c>
      <c r="F4">
        <v>399</v>
      </c>
      <c r="G4" t="s">
        <v>12</v>
      </c>
      <c r="H4" t="s">
        <v>13</v>
      </c>
      <c r="L4" t="s">
        <v>56</v>
      </c>
      <c r="O4" s="4" t="s">
        <v>52</v>
      </c>
      <c r="P4" t="s">
        <v>51</v>
      </c>
    </row>
    <row r="5" spans="1:16" x14ac:dyDescent="0.3">
      <c r="A5" t="s">
        <v>20</v>
      </c>
      <c r="B5" t="s">
        <v>9</v>
      </c>
      <c r="C5" s="1">
        <v>46241</v>
      </c>
      <c r="D5" t="s">
        <v>21</v>
      </c>
      <c r="E5" t="s">
        <v>22</v>
      </c>
      <c r="F5">
        <v>299</v>
      </c>
      <c r="G5" t="s">
        <v>23</v>
      </c>
      <c r="H5" t="s">
        <v>13</v>
      </c>
      <c r="L5" s="6">
        <v>355.66666666666669</v>
      </c>
      <c r="O5" s="5" t="s">
        <v>23</v>
      </c>
      <c r="P5" s="6">
        <v>747</v>
      </c>
    </row>
    <row r="6" spans="1:16" x14ac:dyDescent="0.3">
      <c r="A6" t="s">
        <v>24</v>
      </c>
      <c r="B6" t="s">
        <v>9</v>
      </c>
      <c r="C6" s="1">
        <v>46243</v>
      </c>
      <c r="D6" t="s">
        <v>25</v>
      </c>
      <c r="E6" t="s">
        <v>26</v>
      </c>
      <c r="F6">
        <v>249</v>
      </c>
      <c r="G6" t="s">
        <v>27</v>
      </c>
      <c r="H6" t="s">
        <v>13</v>
      </c>
      <c r="O6" s="5" t="s">
        <v>16</v>
      </c>
      <c r="P6" s="6">
        <v>1697</v>
      </c>
    </row>
    <row r="7" spans="1:16" x14ac:dyDescent="0.3">
      <c r="A7" t="s">
        <v>28</v>
      </c>
      <c r="B7" t="s">
        <v>9</v>
      </c>
      <c r="C7" s="1">
        <v>46246</v>
      </c>
      <c r="D7" t="s">
        <v>29</v>
      </c>
      <c r="E7" t="s">
        <v>30</v>
      </c>
      <c r="F7">
        <v>149</v>
      </c>
      <c r="G7" t="s">
        <v>12</v>
      </c>
      <c r="H7" t="s">
        <v>13</v>
      </c>
      <c r="O7" s="5" t="s">
        <v>27</v>
      </c>
      <c r="P7" s="6">
        <v>1197</v>
      </c>
    </row>
    <row r="8" spans="1:16" x14ac:dyDescent="0.3">
      <c r="A8" t="s">
        <v>31</v>
      </c>
      <c r="B8" t="s">
        <v>9</v>
      </c>
      <c r="C8" s="1">
        <v>46248</v>
      </c>
      <c r="D8" t="s">
        <v>32</v>
      </c>
      <c r="E8" t="s">
        <v>33</v>
      </c>
      <c r="F8">
        <v>599</v>
      </c>
      <c r="G8" t="s">
        <v>16</v>
      </c>
      <c r="H8" t="s">
        <v>13</v>
      </c>
      <c r="O8" s="5" t="s">
        <v>12</v>
      </c>
      <c r="P8" s="6">
        <v>1694</v>
      </c>
    </row>
    <row r="9" spans="1:16" x14ac:dyDescent="0.3">
      <c r="A9" t="s">
        <v>34</v>
      </c>
      <c r="B9" t="s">
        <v>9</v>
      </c>
      <c r="C9" s="1">
        <v>46250</v>
      </c>
      <c r="D9" t="s">
        <v>35</v>
      </c>
      <c r="E9" t="s">
        <v>36</v>
      </c>
      <c r="F9">
        <v>199</v>
      </c>
      <c r="G9" t="s">
        <v>12</v>
      </c>
      <c r="H9" t="s">
        <v>13</v>
      </c>
      <c r="O9" s="5" t="s">
        <v>53</v>
      </c>
      <c r="P9" s="6">
        <v>5335</v>
      </c>
    </row>
    <row r="10" spans="1:16" x14ac:dyDescent="0.3">
      <c r="A10" t="s">
        <v>37</v>
      </c>
      <c r="B10" t="s">
        <v>9</v>
      </c>
      <c r="C10" s="1">
        <v>46252</v>
      </c>
      <c r="D10" t="s">
        <v>10</v>
      </c>
      <c r="E10" t="s">
        <v>38</v>
      </c>
      <c r="F10">
        <v>199</v>
      </c>
      <c r="G10" t="s">
        <v>23</v>
      </c>
      <c r="H10" t="s">
        <v>13</v>
      </c>
    </row>
    <row r="11" spans="1:16" x14ac:dyDescent="0.3">
      <c r="A11" t="s">
        <v>39</v>
      </c>
      <c r="B11" t="s">
        <v>9</v>
      </c>
      <c r="C11" s="1">
        <v>46254</v>
      </c>
      <c r="D11" t="s">
        <v>25</v>
      </c>
      <c r="E11" t="s">
        <v>40</v>
      </c>
      <c r="F11">
        <v>349</v>
      </c>
      <c r="G11" t="s">
        <v>27</v>
      </c>
      <c r="H11" t="s">
        <v>13</v>
      </c>
    </row>
    <row r="12" spans="1:16" x14ac:dyDescent="0.3">
      <c r="A12" t="s">
        <v>41</v>
      </c>
      <c r="B12" t="s">
        <v>9</v>
      </c>
      <c r="C12" s="1">
        <v>46256</v>
      </c>
      <c r="D12" t="s">
        <v>15</v>
      </c>
      <c r="E12" t="s">
        <v>42</v>
      </c>
      <c r="F12">
        <v>249</v>
      </c>
      <c r="G12" t="s">
        <v>12</v>
      </c>
      <c r="H12" t="s">
        <v>13</v>
      </c>
    </row>
    <row r="13" spans="1:16" x14ac:dyDescent="0.3">
      <c r="A13" t="s">
        <v>43</v>
      </c>
      <c r="B13" t="s">
        <v>9</v>
      </c>
      <c r="C13" s="1">
        <v>46258</v>
      </c>
      <c r="D13" t="s">
        <v>21</v>
      </c>
      <c r="E13" t="s">
        <v>44</v>
      </c>
      <c r="F13">
        <v>399</v>
      </c>
      <c r="G13" t="s">
        <v>16</v>
      </c>
      <c r="H13" t="s">
        <v>13</v>
      </c>
    </row>
    <row r="14" spans="1:16" x14ac:dyDescent="0.3">
      <c r="A14" t="s">
        <v>45</v>
      </c>
      <c r="B14" t="s">
        <v>9</v>
      </c>
      <c r="C14" s="1">
        <v>46260</v>
      </c>
      <c r="D14" t="s">
        <v>29</v>
      </c>
      <c r="E14" t="s">
        <v>46</v>
      </c>
      <c r="F14">
        <v>199</v>
      </c>
      <c r="G14" t="s">
        <v>12</v>
      </c>
      <c r="H14" t="s">
        <v>13</v>
      </c>
    </row>
    <row r="15" spans="1:16" x14ac:dyDescent="0.3">
      <c r="A15" t="s">
        <v>47</v>
      </c>
      <c r="B15" t="s">
        <v>9</v>
      </c>
      <c r="C15" s="1">
        <v>46262</v>
      </c>
      <c r="D15" t="s">
        <v>18</v>
      </c>
      <c r="E15" t="s">
        <v>48</v>
      </c>
      <c r="F15">
        <v>599</v>
      </c>
      <c r="G15" t="s">
        <v>27</v>
      </c>
      <c r="H15" t="s">
        <v>13</v>
      </c>
    </row>
    <row r="16" spans="1:16" x14ac:dyDescent="0.3">
      <c r="A16" t="s">
        <v>49</v>
      </c>
      <c r="B16" t="s">
        <v>9</v>
      </c>
      <c r="C16" s="1">
        <v>46264</v>
      </c>
      <c r="D16" t="s">
        <v>35</v>
      </c>
      <c r="E16" t="s">
        <v>50</v>
      </c>
      <c r="F16">
        <v>249</v>
      </c>
      <c r="G16" t="s">
        <v>23</v>
      </c>
      <c r="H16" t="s">
        <v>13</v>
      </c>
      <c r="L16" s="4" t="s">
        <v>52</v>
      </c>
      <c r="M16" t="s">
        <v>51</v>
      </c>
    </row>
    <row r="17" spans="12:13" x14ac:dyDescent="0.3">
      <c r="L17" s="9">
        <v>46235</v>
      </c>
      <c r="M17" s="6">
        <v>499</v>
      </c>
    </row>
    <row r="18" spans="12:13" x14ac:dyDescent="0.3">
      <c r="L18" s="9">
        <v>46237</v>
      </c>
      <c r="M18" s="6">
        <v>699</v>
      </c>
    </row>
    <row r="19" spans="12:13" x14ac:dyDescent="0.3">
      <c r="L19" s="9">
        <v>46239</v>
      </c>
      <c r="M19" s="6">
        <v>399</v>
      </c>
    </row>
    <row r="20" spans="12:13" x14ac:dyDescent="0.3">
      <c r="L20" s="9">
        <v>46241</v>
      </c>
      <c r="M20" s="6">
        <v>299</v>
      </c>
    </row>
    <row r="21" spans="12:13" x14ac:dyDescent="0.3">
      <c r="L21" s="9">
        <v>46243</v>
      </c>
      <c r="M21" s="6">
        <v>249</v>
      </c>
    </row>
    <row r="22" spans="12:13" x14ac:dyDescent="0.3">
      <c r="L22" s="9">
        <v>46246</v>
      </c>
      <c r="M22" s="6">
        <v>149</v>
      </c>
    </row>
    <row r="23" spans="12:13" x14ac:dyDescent="0.3">
      <c r="L23" s="9">
        <v>46248</v>
      </c>
      <c r="M23" s="6">
        <v>599</v>
      </c>
    </row>
    <row r="24" spans="12:13" x14ac:dyDescent="0.3">
      <c r="L24" s="9">
        <v>46250</v>
      </c>
      <c r="M24" s="6">
        <v>199</v>
      </c>
    </row>
    <row r="25" spans="12:13" x14ac:dyDescent="0.3">
      <c r="L25" s="9">
        <v>46252</v>
      </c>
      <c r="M25" s="6">
        <v>199</v>
      </c>
    </row>
    <row r="26" spans="12:13" x14ac:dyDescent="0.3">
      <c r="L26" s="9">
        <v>46254</v>
      </c>
      <c r="M26" s="6">
        <v>349</v>
      </c>
    </row>
    <row r="27" spans="12:13" x14ac:dyDescent="0.3">
      <c r="L27" s="9">
        <v>46256</v>
      </c>
      <c r="M27" s="6">
        <v>249</v>
      </c>
    </row>
    <row r="28" spans="12:13" x14ac:dyDescent="0.3">
      <c r="L28" s="9">
        <v>46258</v>
      </c>
      <c r="M28" s="6">
        <v>399</v>
      </c>
    </row>
    <row r="29" spans="12:13" x14ac:dyDescent="0.3">
      <c r="L29" s="9">
        <v>46260</v>
      </c>
      <c r="M29" s="6">
        <v>199</v>
      </c>
    </row>
    <row r="30" spans="12:13" x14ac:dyDescent="0.3">
      <c r="L30" s="9">
        <v>46262</v>
      </c>
      <c r="M30" s="6">
        <v>599</v>
      </c>
    </row>
    <row r="31" spans="12:13" x14ac:dyDescent="0.3">
      <c r="L31" s="9">
        <v>46264</v>
      </c>
      <c r="M31" s="6">
        <v>249</v>
      </c>
    </row>
    <row r="32" spans="12:13" x14ac:dyDescent="0.3">
      <c r="L32" s="9" t="s">
        <v>53</v>
      </c>
      <c r="M32" s="6">
        <v>5335</v>
      </c>
    </row>
    <row r="37" spans="12:13" x14ac:dyDescent="0.3">
      <c r="L37" s="4" t="s">
        <v>52</v>
      </c>
      <c r="M37" t="s">
        <v>51</v>
      </c>
    </row>
    <row r="38" spans="12:13" x14ac:dyDescent="0.3">
      <c r="L38" s="5" t="s">
        <v>23</v>
      </c>
      <c r="M38" s="6">
        <v>747</v>
      </c>
    </row>
    <row r="39" spans="12:13" x14ac:dyDescent="0.3">
      <c r="L39" s="5" t="s">
        <v>16</v>
      </c>
      <c r="M39" s="6">
        <v>1697</v>
      </c>
    </row>
    <row r="40" spans="12:13" x14ac:dyDescent="0.3">
      <c r="L40" s="5" t="s">
        <v>27</v>
      </c>
      <c r="M40" s="6">
        <v>1197</v>
      </c>
    </row>
    <row r="41" spans="12:13" x14ac:dyDescent="0.3">
      <c r="L41" s="5" t="s">
        <v>12</v>
      </c>
      <c r="M41" s="6">
        <v>1694</v>
      </c>
    </row>
    <row r="42" spans="12:13" x14ac:dyDescent="0.3">
      <c r="L42" s="5" t="s">
        <v>53</v>
      </c>
      <c r="M42" s="6">
        <v>5335</v>
      </c>
    </row>
  </sheetData>
  <pageMargins left="0.7" right="0.7" top="0.75" bottom="0.75" header="0.3" footer="0.3"/>
  <drawing r:id="rId5"/>
  <tableParts count="1">
    <tablePart r:id="rId6"/>
  </tableParts>
  <extLst>
    <ext xmlns:x15="http://schemas.microsoft.com/office/spreadsheetml/2010/11/main" uri="{7E03D99C-DC04-49d9-9315-930204A7B6E9}">
      <x15:timelineRefs>
        <x15:timelineRef r:id="rId7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7086-65EF-4970-A39C-C9C807171D8C}">
  <dimension ref="A1:X3"/>
  <sheetViews>
    <sheetView workbookViewId="0">
      <selection activeCell="G62" sqref="G62"/>
    </sheetView>
  </sheetViews>
  <sheetFormatPr defaultRowHeight="14.4" x14ac:dyDescent="0.3"/>
  <cols>
    <col min="1" max="4" width="8.88671875" style="2"/>
    <col min="5" max="16384" width="8.88671875" style="3"/>
  </cols>
  <sheetData>
    <row r="1" spans="1:24" x14ac:dyDescent="0.3">
      <c r="A1" s="7" t="s">
        <v>54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</sheetData>
  <mergeCells count="1">
    <mergeCell ref="A1:X3"/>
  </mergeCells>
  <pageMargins left="0.7" right="0.7" top="0.75" bottom="0.75" header="0.3" footer="0.3"/>
  <pageSetup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E06C-63CA-458E-9A1B-EBA2723B55B6}">
  <dimension ref="A1:J18"/>
  <sheetViews>
    <sheetView workbookViewId="0">
      <selection activeCell="A18" sqref="A18"/>
    </sheetView>
  </sheetViews>
  <sheetFormatPr defaultRowHeight="14.4" x14ac:dyDescent="0.3"/>
  <cols>
    <col min="1" max="2" width="16.77734375" bestFit="1" customWidth="1"/>
    <col min="3" max="3" width="13.77734375" customWidth="1"/>
    <col min="4" max="4" width="15.21875" customWidth="1"/>
    <col min="5" max="5" width="21.6640625" customWidth="1"/>
    <col min="9" max="9" width="12.44140625" bestFit="1" customWidth="1"/>
    <col min="10" max="10" width="16.77734375" bestFit="1" customWidth="1"/>
  </cols>
  <sheetData>
    <row r="1" spans="1:10" ht="18" customHeight="1" x14ac:dyDescent="0.3">
      <c r="A1" s="10" t="s">
        <v>57</v>
      </c>
      <c r="B1" s="10" t="s">
        <v>58</v>
      </c>
      <c r="C1" s="10" t="s">
        <v>59</v>
      </c>
      <c r="D1" s="10" t="s">
        <v>60</v>
      </c>
      <c r="E1" s="10" t="s">
        <v>61</v>
      </c>
    </row>
    <row r="2" spans="1:10" ht="18" customHeight="1" x14ac:dyDescent="0.3">
      <c r="A2" s="14" t="s">
        <v>62</v>
      </c>
      <c r="B2" s="12">
        <v>12500</v>
      </c>
      <c r="C2" s="12">
        <v>1875000</v>
      </c>
      <c r="D2" s="13" t="s">
        <v>55</v>
      </c>
      <c r="E2" s="13">
        <v>32</v>
      </c>
    </row>
    <row r="3" spans="1:10" ht="18" customHeight="1" x14ac:dyDescent="0.3">
      <c r="A3" s="14" t="s">
        <v>63</v>
      </c>
      <c r="B3" s="12">
        <v>9800</v>
      </c>
      <c r="C3" s="12">
        <v>1420000</v>
      </c>
      <c r="D3" s="13" t="s">
        <v>64</v>
      </c>
      <c r="E3" s="13">
        <v>28</v>
      </c>
      <c r="I3" s="4" t="s">
        <v>52</v>
      </c>
      <c r="J3" t="s">
        <v>74</v>
      </c>
    </row>
    <row r="4" spans="1:10" ht="18" customHeight="1" x14ac:dyDescent="0.3">
      <c r="A4" s="14" t="s">
        <v>65</v>
      </c>
      <c r="B4" s="12">
        <v>7600</v>
      </c>
      <c r="C4" s="12">
        <v>1210000</v>
      </c>
      <c r="D4" s="13" t="s">
        <v>19</v>
      </c>
      <c r="E4" s="13">
        <v>30</v>
      </c>
      <c r="I4" s="5" t="s">
        <v>70</v>
      </c>
      <c r="J4" s="11">
        <v>900000</v>
      </c>
    </row>
    <row r="5" spans="1:10" ht="18" customHeight="1" x14ac:dyDescent="0.3">
      <c r="A5" s="14" t="s">
        <v>66</v>
      </c>
      <c r="B5" s="12">
        <v>5400</v>
      </c>
      <c r="C5" s="12">
        <v>810000</v>
      </c>
      <c r="D5" s="13" t="s">
        <v>67</v>
      </c>
      <c r="E5" s="13">
        <v>27</v>
      </c>
      <c r="I5" s="5" t="s">
        <v>63</v>
      </c>
      <c r="J5" s="11">
        <v>1420000</v>
      </c>
    </row>
    <row r="6" spans="1:10" ht="18" customHeight="1" x14ac:dyDescent="0.3">
      <c r="A6" s="14" t="s">
        <v>68</v>
      </c>
      <c r="B6" s="12">
        <v>3200</v>
      </c>
      <c r="C6" s="12">
        <v>640000</v>
      </c>
      <c r="D6" s="13" t="s">
        <v>69</v>
      </c>
      <c r="E6" s="13">
        <v>35</v>
      </c>
      <c r="I6" s="5" t="s">
        <v>62</v>
      </c>
      <c r="J6" s="11">
        <v>1875000</v>
      </c>
    </row>
    <row r="7" spans="1:10" ht="18" customHeight="1" x14ac:dyDescent="0.3">
      <c r="A7" s="14" t="s">
        <v>70</v>
      </c>
      <c r="B7" s="12">
        <v>4500</v>
      </c>
      <c r="C7" s="12">
        <v>900000</v>
      </c>
      <c r="D7" s="13" t="s">
        <v>71</v>
      </c>
      <c r="E7" s="13">
        <v>29</v>
      </c>
      <c r="I7" s="5" t="s">
        <v>65</v>
      </c>
      <c r="J7" s="11">
        <v>1210000</v>
      </c>
    </row>
    <row r="8" spans="1:10" ht="18" customHeight="1" x14ac:dyDescent="0.3">
      <c r="A8" s="14" t="s">
        <v>72</v>
      </c>
      <c r="B8" s="12">
        <v>2800</v>
      </c>
      <c r="C8" s="12">
        <v>560000</v>
      </c>
      <c r="D8" s="13" t="s">
        <v>73</v>
      </c>
      <c r="E8" s="13">
        <v>31</v>
      </c>
      <c r="I8" s="5" t="s">
        <v>68</v>
      </c>
      <c r="J8" s="11">
        <v>640000</v>
      </c>
    </row>
    <row r="9" spans="1:10" x14ac:dyDescent="0.3">
      <c r="I9" s="5" t="s">
        <v>66</v>
      </c>
      <c r="J9" s="11">
        <v>810000</v>
      </c>
    </row>
    <row r="10" spans="1:10" x14ac:dyDescent="0.3">
      <c r="I10" s="5" t="s">
        <v>72</v>
      </c>
      <c r="J10" s="11">
        <v>560000</v>
      </c>
    </row>
    <row r="11" spans="1:10" x14ac:dyDescent="0.3">
      <c r="I11" s="5" t="s">
        <v>53</v>
      </c>
      <c r="J11" s="11">
        <v>7415000</v>
      </c>
    </row>
    <row r="17" spans="1:1" x14ac:dyDescent="0.3">
      <c r="A17" t="s">
        <v>74</v>
      </c>
    </row>
    <row r="18" spans="1:1" x14ac:dyDescent="0.3">
      <c r="A18" s="11">
        <v>7415000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8C1C-7A2B-41EB-9B1B-051E531D80B8}">
  <dimension ref="A1:D1"/>
  <sheetViews>
    <sheetView workbookViewId="0">
      <selection activeCell="N10" sqref="N10"/>
    </sheetView>
  </sheetViews>
  <sheetFormatPr defaultRowHeight="14.4" x14ac:dyDescent="0.3"/>
  <cols>
    <col min="1" max="4" width="8.88671875" style="15"/>
    <col min="5" max="16384" width="8.88671875" style="16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49E8-E28F-4301-A669-F568EFCB861E}">
  <dimension ref="A1:B13"/>
  <sheetViews>
    <sheetView tabSelected="1" workbookViewId="0">
      <selection activeCell="O10" sqref="O10"/>
    </sheetView>
  </sheetViews>
  <sheetFormatPr defaultRowHeight="14.4" x14ac:dyDescent="0.3"/>
  <cols>
    <col min="2" max="2" width="11.21875" customWidth="1"/>
  </cols>
  <sheetData>
    <row r="1" spans="1:2" ht="28.8" x14ac:dyDescent="0.3">
      <c r="A1" s="10" t="s">
        <v>75</v>
      </c>
      <c r="B1" s="10" t="s">
        <v>76</v>
      </c>
    </row>
    <row r="2" spans="1:2" x14ac:dyDescent="0.3">
      <c r="A2" s="14" t="s">
        <v>77</v>
      </c>
      <c r="B2" s="12">
        <v>12000</v>
      </c>
    </row>
    <row r="3" spans="1:2" x14ac:dyDescent="0.3">
      <c r="A3" s="14" t="s">
        <v>78</v>
      </c>
      <c r="B3" s="12">
        <v>13500</v>
      </c>
    </row>
    <row r="4" spans="1:2" x14ac:dyDescent="0.3">
      <c r="A4" s="14" t="s">
        <v>79</v>
      </c>
      <c r="B4" s="12">
        <v>11800</v>
      </c>
    </row>
    <row r="5" spans="1:2" x14ac:dyDescent="0.3">
      <c r="A5" s="14" t="s">
        <v>80</v>
      </c>
      <c r="B5" s="12">
        <v>14200</v>
      </c>
    </row>
    <row r="6" spans="1:2" x14ac:dyDescent="0.3">
      <c r="A6" s="14" t="s">
        <v>81</v>
      </c>
      <c r="B6" s="12">
        <v>15600</v>
      </c>
    </row>
    <row r="7" spans="1:2" x14ac:dyDescent="0.3">
      <c r="A7" s="14" t="s">
        <v>82</v>
      </c>
      <c r="B7" s="12">
        <v>14900</v>
      </c>
    </row>
    <row r="8" spans="1:2" x14ac:dyDescent="0.3">
      <c r="A8" s="14" t="s">
        <v>83</v>
      </c>
      <c r="B8" s="12">
        <v>16300</v>
      </c>
    </row>
    <row r="9" spans="1:2" x14ac:dyDescent="0.3">
      <c r="A9" s="14" t="s">
        <v>84</v>
      </c>
      <c r="B9" s="12">
        <v>17800</v>
      </c>
    </row>
    <row r="10" spans="1:2" x14ac:dyDescent="0.3">
      <c r="A10" s="14" t="s">
        <v>85</v>
      </c>
      <c r="B10" s="12">
        <v>16500</v>
      </c>
    </row>
    <row r="11" spans="1:2" x14ac:dyDescent="0.3">
      <c r="A11" s="14" t="s">
        <v>86</v>
      </c>
      <c r="B11" s="12">
        <v>18200</v>
      </c>
    </row>
    <row r="12" spans="1:2" x14ac:dyDescent="0.3">
      <c r="A12" s="14" t="s">
        <v>87</v>
      </c>
      <c r="B12" s="12">
        <v>19000</v>
      </c>
    </row>
    <row r="13" spans="1:2" x14ac:dyDescent="0.3">
      <c r="A13" s="14" t="s">
        <v>88</v>
      </c>
      <c r="B13" s="12">
        <v>20500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4D5C3C-D717-45F7-A2E4-D5D8B3656A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Sheet1's Dashboard</vt:lpstr>
      <vt:lpstr>Sheet3</vt:lpstr>
      <vt:lpstr>Sheet3's Dahboard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2026-09-02T09:48:54Z</dcterms:created>
  <dcterms:modified xsi:type="dcterms:W3CDTF">2026-09-02T11:43:11Z</dcterms:modified>
</cp:coreProperties>
</file>