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Surya Purohit\OneDrive\Desktop\EXCEL\ALL_TASKS\TASK_21\"/>
    </mc:Choice>
  </mc:AlternateContent>
  <xr:revisionPtr revIDLastSave="0" documentId="13_ncr:1_{EB3E6440-D554-46C9-976F-B7382FAC3CF9}" xr6:coauthVersionLast="47" xr6:coauthVersionMax="47" xr10:uidLastSave="{00000000-0000-0000-0000-000000000000}"/>
  <bookViews>
    <workbookView xWindow="-108" yWindow="-108" windowWidth="23256" windowHeight="12456" activeTab="4" xr2:uid="{B99B6EB0-8471-4668-96CA-F39C9A5A0650}"/>
  </bookViews>
  <sheets>
    <sheet name="Sheet1" sheetId="1" r:id="rId1"/>
    <sheet name="Sheet2" sheetId="2" r:id="rId2"/>
    <sheet name="Sheet3" sheetId="3" r:id="rId3"/>
    <sheet name="Sheet4" sheetId="4" r:id="rId4"/>
    <sheet name="Sheet5" sheetId="5" r:id="rId5"/>
  </sheets>
  <definedNames>
    <definedName name="Slicer_Delivery_Partner">#N/A</definedName>
  </definedNames>
  <calcPr calcId="191029"/>
  <pivotCaches>
    <pivotCache cacheId="13" r:id="rId6"/>
    <pivotCache cacheId="14"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2" l="1"/>
  <c r="G4" i="2"/>
  <c r="G5" i="2"/>
  <c r="G6" i="2"/>
  <c r="G7" i="2"/>
  <c r="G8" i="2"/>
  <c r="G9" i="2"/>
  <c r="G10" i="2"/>
  <c r="G11" i="2"/>
  <c r="G12" i="2"/>
  <c r="G13" i="2"/>
  <c r="G14" i="2"/>
  <c r="G15" i="2"/>
  <c r="G16" i="2"/>
  <c r="G17" i="2"/>
  <c r="G18" i="2"/>
  <c r="G19" i="2"/>
  <c r="G20" i="2"/>
  <c r="G21" i="2"/>
  <c r="G2" i="2"/>
  <c r="N16" i="2"/>
  <c r="N15" i="2"/>
  <c r="N14" i="2"/>
  <c r="M16" i="2"/>
  <c r="M15" i="2"/>
  <c r="M14" i="2"/>
  <c r="M9" i="2"/>
  <c r="M8" i="2"/>
  <c r="M7" i="2"/>
  <c r="B23" i="4"/>
</calcChain>
</file>

<file path=xl/sharedStrings.xml><?xml version="1.0" encoding="utf-8"?>
<sst xmlns="http://schemas.openxmlformats.org/spreadsheetml/2006/main" count="163" uniqueCount="55">
  <si>
    <t>Order ID</t>
  </si>
  <si>
    <t>Date</t>
  </si>
  <si>
    <t>Cuisine</t>
  </si>
  <si>
    <t>Orders</t>
  </si>
  <si>
    <t>Revenue (₹)</t>
  </si>
  <si>
    <t>Delivery Partner</t>
  </si>
  <si>
    <t>Indian</t>
  </si>
  <si>
    <t>Swiggy</t>
  </si>
  <si>
    <t>Jan 2, 2026</t>
  </si>
  <si>
    <t>Chinese</t>
  </si>
  <si>
    <t>Italian</t>
  </si>
  <si>
    <t>Zomato</t>
  </si>
  <si>
    <t>Mexican</t>
  </si>
  <si>
    <t>Japanese</t>
  </si>
  <si>
    <t>Thai</t>
  </si>
  <si>
    <t>American</t>
  </si>
  <si>
    <t>10.01.2026</t>
  </si>
  <si>
    <t>Jan 12 2026</t>
  </si>
  <si>
    <t>Jan 18, 2026</t>
  </si>
  <si>
    <t>Unassigned</t>
  </si>
  <si>
    <t>V Lookup</t>
  </si>
  <si>
    <t>X Lookup</t>
  </si>
  <si>
    <t>01‑01‑2026</t>
  </si>
  <si>
    <t>03‑01‑2026</t>
  </si>
  <si>
    <t>04‑01‑2026</t>
  </si>
  <si>
    <t>05‑01‑2026</t>
  </si>
  <si>
    <t>06‑01‑2026</t>
  </si>
  <si>
    <t>07‑01‑2026</t>
  </si>
  <si>
    <t>08‑01‑2026</t>
  </si>
  <si>
    <t>09‑01‑2026</t>
  </si>
  <si>
    <t>10‑01‑2026</t>
  </si>
  <si>
    <t>11‑01‑2026</t>
  </si>
  <si>
    <t>13‑01‑2026</t>
  </si>
  <si>
    <t>14‑01‑2026</t>
  </si>
  <si>
    <t>15‑01‑2026</t>
  </si>
  <si>
    <t>16‑01‑2026</t>
  </si>
  <si>
    <t>17‑01‑2026</t>
  </si>
  <si>
    <t>19‑01‑2026</t>
  </si>
  <si>
    <t>20‑01‑2026</t>
  </si>
  <si>
    <t>Day</t>
  </si>
  <si>
    <t>Delivery Date</t>
  </si>
  <si>
    <t>Total Orders</t>
  </si>
  <si>
    <t>Total Delivery Charges</t>
  </si>
  <si>
    <t>02‑01‑2026</t>
  </si>
  <si>
    <t>12‑01‑2026</t>
  </si>
  <si>
    <t>18‑01‑2026</t>
  </si>
  <si>
    <t>Grand Total</t>
  </si>
  <si>
    <t>Sum of Total Delivery Charges</t>
  </si>
  <si>
    <t>Row Labels</t>
  </si>
  <si>
    <t>1.  Total Orders</t>
  </si>
  <si>
    <t>Sum of Orders</t>
  </si>
  <si>
    <t>2. Average delivery rate</t>
  </si>
  <si>
    <t>Average of Total Delivery Charges</t>
  </si>
  <si>
    <t>3. Top 3 Restaurent by no of order</t>
  </si>
  <si>
    <t>Total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</si>
</sst>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2" x14ac:knownFonts="1">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theme="5" tint="0.39997558519241921"/>
        <bgColor indexed="64"/>
      </patternFill>
    </fill>
    <fill>
      <patternFill patternType="solid">
        <fgColor theme="5" tint="-0.24997711111789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theme="4" tint="0.39997558519241921"/>
      </top>
      <bottom/>
      <diagonal/>
    </border>
  </borders>
  <cellStyleXfs count="1">
    <xf numFmtId="0" fontId="0" fillId="0" borderId="0"/>
  </cellStyleXfs>
  <cellXfs count="24">
    <xf numFmtId="0" fontId="0" fillId="0" borderId="0" xfId="0"/>
    <xf numFmtId="0" fontId="1" fillId="0" borderId="0" xfId="0" applyFont="1" applyAlignment="1">
      <alignment horizontal="center" vertical="center" wrapText="1"/>
    </xf>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15" fontId="0" fillId="0" borderId="0" xfId="0" applyNumberFormat="1" applyAlignment="1">
      <alignment vertical="center" wrapText="1"/>
    </xf>
    <xf numFmtId="0" fontId="0" fillId="0" borderId="0" xfId="0" applyAlignment="1">
      <alignment horizontal="center" vertical="center" wrapText="1"/>
    </xf>
    <xf numFmtId="0" fontId="1" fillId="0" borderId="0" xfId="0" applyFont="1" applyAlignment="1">
      <alignment horizontal="center" vertical="center"/>
    </xf>
    <xf numFmtId="0" fontId="1" fillId="0" borderId="1" xfId="0" applyFont="1" applyBorder="1" applyAlignment="1">
      <alignment horizontal="center" vertical="center"/>
    </xf>
    <xf numFmtId="0" fontId="0" fillId="0" borderId="1" xfId="0" applyBorder="1" applyAlignment="1">
      <alignment vertical="center" wrapText="1"/>
    </xf>
    <xf numFmtId="0" fontId="0" fillId="0" borderId="1" xfId="0" applyBorder="1"/>
    <xf numFmtId="14" fontId="0" fillId="0" borderId="1" xfId="0" applyNumberFormat="1" applyBorder="1"/>
    <xf numFmtId="0" fontId="0" fillId="0" borderId="0" xfId="0" applyFont="1" applyAlignment="1">
      <alignment horizontal="center" vertical="center" wrapText="1"/>
    </xf>
    <xf numFmtId="6" fontId="0" fillId="0" borderId="0" xfId="0" applyNumberFormat="1"/>
    <xf numFmtId="6" fontId="0" fillId="0" borderId="0" xfId="0" applyNumberFormat="1" applyAlignment="1">
      <alignment vertical="center" wrapText="1"/>
    </xf>
    <xf numFmtId="3" fontId="1" fillId="0" borderId="0" xfId="0" applyNumberFormat="1" applyFont="1" applyAlignment="1">
      <alignment vertical="center" wrapText="1"/>
    </xf>
    <xf numFmtId="6" fontId="1" fillId="0" borderId="0" xfId="0" applyNumberFormat="1" applyFont="1" applyAlignment="1">
      <alignment vertical="center" wrapText="1"/>
    </xf>
    <xf numFmtId="0" fontId="0" fillId="0" borderId="0" xfId="0" pivotButton="1"/>
    <xf numFmtId="0" fontId="0" fillId="0" borderId="0" xfId="0" applyAlignment="1">
      <alignment horizontal="left"/>
    </xf>
    <xf numFmtId="0" fontId="0" fillId="3" borderId="0" xfId="0" applyFill="1"/>
    <xf numFmtId="0" fontId="0" fillId="4" borderId="0" xfId="0" applyFill="1"/>
    <xf numFmtId="0" fontId="0" fillId="0" borderId="0" xfId="0" applyNumberFormat="1"/>
    <xf numFmtId="6" fontId="0" fillId="0" borderId="1" xfId="0" applyNumberFormat="1" applyBorder="1"/>
    <xf numFmtId="0" fontId="1" fillId="2" borderId="2" xfId="0" applyNumberFormat="1" applyFont="1" applyFill="1" applyBorder="1"/>
  </cellXfs>
  <cellStyles count="1">
    <cellStyle name="Normal" xfId="0" builtinId="0"/>
  </cellStyles>
  <dxfs count="7">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[TASK_21.xlsx]Sheet3!PivotTable1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Sheet3!$J$3</c:f>
              <c:strCache>
                <c:ptCount val="1"/>
                <c:pt idx="0">
                  <c:v>Total</c:v>
                </c:pt>
              </c:strCache>
            </c:strRef>
          </c:tx>
          <c:spPr>
            <a:solidFill>
              <a:schemeClr val="accent1"/>
            </a:solidFill>
            <a:ln>
              <a:noFill/>
            </a:ln>
            <a:effectLst/>
          </c:spPr>
          <c:invertIfNegative val="0"/>
          <c:cat>
            <c:strRef>
              <c:f>Sheet3!$I$4:$I$24</c:f>
              <c:strCache>
                <c:ptCount val="20"/>
                <c:pt idx="0">
                  <c:v>01‑01‑2026</c:v>
                </c:pt>
                <c:pt idx="1">
                  <c:v>02‑01‑2026</c:v>
                </c:pt>
                <c:pt idx="2">
                  <c:v>03‑01‑2026</c:v>
                </c:pt>
                <c:pt idx="3">
                  <c:v>04‑01‑2026</c:v>
                </c:pt>
                <c:pt idx="4">
                  <c:v>05‑01‑2026</c:v>
                </c:pt>
                <c:pt idx="5">
                  <c:v>06‑01‑2026</c:v>
                </c:pt>
                <c:pt idx="6">
                  <c:v>07‑01‑2026</c:v>
                </c:pt>
                <c:pt idx="7">
                  <c:v>08‑01‑2026</c:v>
                </c:pt>
                <c:pt idx="8">
                  <c:v>09‑01‑2026</c:v>
                </c:pt>
                <c:pt idx="9">
                  <c:v>10‑01‑2026</c:v>
                </c:pt>
                <c:pt idx="10">
                  <c:v>11‑01‑2026</c:v>
                </c:pt>
                <c:pt idx="11">
                  <c:v>12‑01‑2026</c:v>
                </c:pt>
                <c:pt idx="12">
                  <c:v>13‑01‑2026</c:v>
                </c:pt>
                <c:pt idx="13">
                  <c:v>14‑01‑2026</c:v>
                </c:pt>
                <c:pt idx="14">
                  <c:v>15‑01‑2026</c:v>
                </c:pt>
                <c:pt idx="15">
                  <c:v>16‑01‑2026</c:v>
                </c:pt>
                <c:pt idx="16">
                  <c:v>17‑01‑2026</c:v>
                </c:pt>
                <c:pt idx="17">
                  <c:v>18‑01‑2026</c:v>
                </c:pt>
                <c:pt idx="18">
                  <c:v>19‑01‑2026</c:v>
                </c:pt>
                <c:pt idx="19">
                  <c:v>20‑01‑2026</c:v>
                </c:pt>
              </c:strCache>
            </c:strRef>
          </c:cat>
          <c:val>
            <c:numRef>
              <c:f>Sheet3!$J$4:$J$24</c:f>
              <c:numCache>
                <c:formatCode>"₹"#,##0_);[Red]\("₹"#,##0\)</c:formatCode>
                <c:ptCount val="20"/>
                <c:pt idx="0">
                  <c:v>2400</c:v>
                </c:pt>
                <c:pt idx="1">
                  <c:v>1900</c:v>
                </c:pt>
                <c:pt idx="2">
                  <c:v>1600</c:v>
                </c:pt>
                <c:pt idx="3">
                  <c:v>1200</c:v>
                </c:pt>
                <c:pt idx="4">
                  <c:v>900</c:v>
                </c:pt>
                <c:pt idx="5">
                  <c:v>2600</c:v>
                </c:pt>
                <c:pt idx="6">
                  <c:v>1000</c:v>
                </c:pt>
                <c:pt idx="7">
                  <c:v>1400</c:v>
                </c:pt>
                <c:pt idx="8">
                  <c:v>2200</c:v>
                </c:pt>
                <c:pt idx="9">
                  <c:v>1700</c:v>
                </c:pt>
                <c:pt idx="10">
                  <c:v>1300</c:v>
                </c:pt>
                <c:pt idx="11">
                  <c:v>800</c:v>
                </c:pt>
                <c:pt idx="12">
                  <c:v>2000</c:v>
                </c:pt>
                <c:pt idx="13">
                  <c:v>1100</c:v>
                </c:pt>
                <c:pt idx="14">
                  <c:v>1500</c:v>
                </c:pt>
                <c:pt idx="15">
                  <c:v>2800</c:v>
                </c:pt>
                <c:pt idx="16">
                  <c:v>1800</c:v>
                </c:pt>
                <c:pt idx="17">
                  <c:v>1400</c:v>
                </c:pt>
                <c:pt idx="18">
                  <c:v>1000</c:v>
                </c:pt>
                <c:pt idx="19">
                  <c:v>2100</c:v>
                </c:pt>
              </c:numCache>
            </c:numRef>
          </c:val>
          <c:extLst>
            <c:ext xmlns:c16="http://schemas.microsoft.com/office/drawing/2014/chart" uri="{C3380CC4-5D6E-409C-BE32-E72D297353CC}">
              <c16:uniqueId val="{00000000-CB51-49A0-B176-2255E5C49167}"/>
            </c:ext>
          </c:extLst>
        </c:ser>
        <c:dLbls>
          <c:showLegendKey val="0"/>
          <c:showVal val="0"/>
          <c:showCatName val="0"/>
          <c:showSerName val="0"/>
          <c:showPercent val="0"/>
          <c:showBubbleSize val="0"/>
        </c:dLbls>
        <c:gapWidth val="150"/>
        <c:overlap val="100"/>
        <c:axId val="918883120"/>
        <c:axId val="909383888"/>
      </c:barChart>
      <c:catAx>
        <c:axId val="918883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383888"/>
        <c:crosses val="autoZero"/>
        <c:auto val="1"/>
        <c:lblAlgn val="ctr"/>
        <c:lblOffset val="100"/>
        <c:noMultiLvlLbl val="0"/>
      </c:catAx>
      <c:valAx>
        <c:axId val="9093838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883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[TASK_21.xlsx]Sheet4!Total_order</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Sheet4!$C$6</c:f>
              <c:strCache>
                <c:ptCount val="1"/>
                <c:pt idx="0">
                  <c:v>Total</c:v>
                </c:pt>
              </c:strCache>
            </c:strRef>
          </c:tx>
          <c:spPr>
            <a:solidFill>
              <a:schemeClr val="accent1"/>
            </a:solidFill>
            <a:ln>
              <a:noFill/>
            </a:ln>
            <a:effectLst/>
          </c:spPr>
          <c:invertIfNegative val="0"/>
          <c:cat>
            <c:strRef>
              <c:f>Sheet4!$B$7:$B$11</c:f>
              <c:strCache>
                <c:ptCount val="4"/>
                <c:pt idx="0">
                  <c:v>American</c:v>
                </c:pt>
                <c:pt idx="1">
                  <c:v>Chinese</c:v>
                </c:pt>
                <c:pt idx="2">
                  <c:v>Indian</c:v>
                </c:pt>
                <c:pt idx="3">
                  <c:v>Japanese</c:v>
                </c:pt>
              </c:strCache>
            </c:strRef>
          </c:cat>
          <c:val>
            <c:numRef>
              <c:f>Sheet4!$C$7:$C$11</c:f>
              <c:numCache>
                <c:formatCode>General</c:formatCode>
                <c:ptCount val="4"/>
                <c:pt idx="0">
                  <c:v>70</c:v>
                </c:pt>
                <c:pt idx="1">
                  <c:v>105</c:v>
                </c:pt>
                <c:pt idx="2">
                  <c:v>260</c:v>
                </c:pt>
                <c:pt idx="3">
                  <c:v>85</c:v>
                </c:pt>
              </c:numCache>
            </c:numRef>
          </c:val>
          <c:extLst>
            <c:ext xmlns:c16="http://schemas.microsoft.com/office/drawing/2014/chart" uri="{C3380CC4-5D6E-409C-BE32-E72D297353CC}">
              <c16:uniqueId val="{00000000-0CED-48F3-8E5B-84B48C494495}"/>
            </c:ext>
          </c:extLst>
        </c:ser>
        <c:dLbls>
          <c:showLegendKey val="0"/>
          <c:showVal val="0"/>
          <c:showCatName val="0"/>
          <c:showSerName val="0"/>
          <c:showPercent val="0"/>
          <c:showBubbleSize val="0"/>
        </c:dLbls>
        <c:gapWidth val="150"/>
        <c:overlap val="100"/>
        <c:axId val="1133408224"/>
        <c:axId val="909385328"/>
      </c:barChart>
      <c:catAx>
        <c:axId val="1133408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385328"/>
        <c:crosses val="autoZero"/>
        <c:auto val="1"/>
        <c:lblAlgn val="ctr"/>
        <c:lblOffset val="100"/>
        <c:noMultiLvlLbl val="0"/>
      </c:catAx>
      <c:valAx>
        <c:axId val="909385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408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[TASK_21.xlsx]Sheet4!Top 3 Restaurent </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Sheet4!$C$30</c:f>
              <c:strCache>
                <c:ptCount val="1"/>
                <c:pt idx="0">
                  <c:v>Total</c:v>
                </c:pt>
              </c:strCache>
            </c:strRef>
          </c:tx>
          <c:spPr>
            <a:ln w="28575" cap="rnd">
              <a:solidFill>
                <a:schemeClr val="accent1"/>
              </a:solidFill>
              <a:round/>
            </a:ln>
            <a:effectLst/>
          </c:spPr>
          <c:marker>
            <c:symbol val="none"/>
          </c:marker>
          <c:cat>
            <c:strRef>
              <c:f>Sheet4!$B$31:$B$35</c:f>
              <c:strCache>
                <c:ptCount val="4"/>
                <c:pt idx="0">
                  <c:v>American</c:v>
                </c:pt>
                <c:pt idx="1">
                  <c:v>Chinese</c:v>
                </c:pt>
                <c:pt idx="2">
                  <c:v>Indian</c:v>
                </c:pt>
                <c:pt idx="3">
                  <c:v>Japanese</c:v>
                </c:pt>
              </c:strCache>
            </c:strRef>
          </c:cat>
          <c:val>
            <c:numRef>
              <c:f>Sheet4!$C$31:$C$35</c:f>
              <c:numCache>
                <c:formatCode>General</c:formatCode>
                <c:ptCount val="4"/>
                <c:pt idx="0">
                  <c:v>70</c:v>
                </c:pt>
                <c:pt idx="1">
                  <c:v>105</c:v>
                </c:pt>
                <c:pt idx="2">
                  <c:v>260</c:v>
                </c:pt>
                <c:pt idx="3">
                  <c:v>85</c:v>
                </c:pt>
              </c:numCache>
            </c:numRef>
          </c:val>
          <c:smooth val="0"/>
          <c:extLst>
            <c:ext xmlns:c16="http://schemas.microsoft.com/office/drawing/2014/chart" uri="{C3380CC4-5D6E-409C-BE32-E72D297353CC}">
              <c16:uniqueId val="{00000000-344F-4D83-9ED7-22B06EAC039A}"/>
            </c:ext>
          </c:extLst>
        </c:ser>
        <c:dLbls>
          <c:showLegendKey val="0"/>
          <c:showVal val="0"/>
          <c:showCatName val="0"/>
          <c:showSerName val="0"/>
          <c:showPercent val="0"/>
          <c:showBubbleSize val="0"/>
        </c:dLbls>
        <c:smooth val="0"/>
        <c:axId val="1133410544"/>
        <c:axId val="909307568"/>
      </c:lineChart>
      <c:catAx>
        <c:axId val="1133410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307568"/>
        <c:crosses val="autoZero"/>
        <c:auto val="1"/>
        <c:lblAlgn val="ctr"/>
        <c:lblOffset val="100"/>
        <c:noMultiLvlLbl val="0"/>
      </c:catAx>
      <c:valAx>
        <c:axId val="909307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410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[TASK_21.xlsx]Sheet4!Total_order</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Sheet4!$C$6</c:f>
              <c:strCache>
                <c:ptCount val="1"/>
                <c:pt idx="0">
                  <c:v>Total</c:v>
                </c:pt>
              </c:strCache>
            </c:strRef>
          </c:tx>
          <c:spPr>
            <a:solidFill>
              <a:schemeClr val="accent1"/>
            </a:solidFill>
            <a:ln>
              <a:noFill/>
            </a:ln>
            <a:effectLst/>
          </c:spPr>
          <c:invertIfNegative val="0"/>
          <c:cat>
            <c:strRef>
              <c:f>Sheet4!$B$7:$B$11</c:f>
              <c:strCache>
                <c:ptCount val="4"/>
                <c:pt idx="0">
                  <c:v>American</c:v>
                </c:pt>
                <c:pt idx="1">
                  <c:v>Chinese</c:v>
                </c:pt>
                <c:pt idx="2">
                  <c:v>Indian</c:v>
                </c:pt>
                <c:pt idx="3">
                  <c:v>Japanese</c:v>
                </c:pt>
              </c:strCache>
            </c:strRef>
          </c:cat>
          <c:val>
            <c:numRef>
              <c:f>Sheet4!$C$7:$C$11</c:f>
              <c:numCache>
                <c:formatCode>General</c:formatCode>
                <c:ptCount val="4"/>
                <c:pt idx="0">
                  <c:v>70</c:v>
                </c:pt>
                <c:pt idx="1">
                  <c:v>105</c:v>
                </c:pt>
                <c:pt idx="2">
                  <c:v>260</c:v>
                </c:pt>
                <c:pt idx="3">
                  <c:v>85</c:v>
                </c:pt>
              </c:numCache>
            </c:numRef>
          </c:val>
          <c:extLst>
            <c:ext xmlns:c16="http://schemas.microsoft.com/office/drawing/2014/chart" uri="{C3380CC4-5D6E-409C-BE32-E72D297353CC}">
              <c16:uniqueId val="{00000000-F5C3-4296-B96F-CE64E04C8D44}"/>
            </c:ext>
          </c:extLst>
        </c:ser>
        <c:dLbls>
          <c:showLegendKey val="0"/>
          <c:showVal val="0"/>
          <c:showCatName val="0"/>
          <c:showSerName val="0"/>
          <c:showPercent val="0"/>
          <c:showBubbleSize val="0"/>
        </c:dLbls>
        <c:gapWidth val="150"/>
        <c:overlap val="100"/>
        <c:axId val="1133408224"/>
        <c:axId val="909385328"/>
      </c:barChart>
      <c:catAx>
        <c:axId val="1133408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385328"/>
        <c:crosses val="autoZero"/>
        <c:auto val="1"/>
        <c:lblAlgn val="ctr"/>
        <c:lblOffset val="100"/>
        <c:noMultiLvlLbl val="0"/>
      </c:catAx>
      <c:valAx>
        <c:axId val="909385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408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[TASK_21.xlsx]Sheet4!Top 3 Restaurent </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Sheet4!$C$30</c:f>
              <c:strCache>
                <c:ptCount val="1"/>
                <c:pt idx="0">
                  <c:v>Total</c:v>
                </c:pt>
              </c:strCache>
            </c:strRef>
          </c:tx>
          <c:spPr>
            <a:ln w="28575" cap="rnd">
              <a:solidFill>
                <a:schemeClr val="accent1"/>
              </a:solidFill>
              <a:round/>
            </a:ln>
            <a:effectLst/>
          </c:spPr>
          <c:marker>
            <c:symbol val="none"/>
          </c:marker>
          <c:cat>
            <c:strRef>
              <c:f>Sheet4!$B$31:$B$35</c:f>
              <c:strCache>
                <c:ptCount val="4"/>
                <c:pt idx="0">
                  <c:v>American</c:v>
                </c:pt>
                <c:pt idx="1">
                  <c:v>Chinese</c:v>
                </c:pt>
                <c:pt idx="2">
                  <c:v>Indian</c:v>
                </c:pt>
                <c:pt idx="3">
                  <c:v>Japanese</c:v>
                </c:pt>
              </c:strCache>
            </c:strRef>
          </c:cat>
          <c:val>
            <c:numRef>
              <c:f>Sheet4!$C$31:$C$35</c:f>
              <c:numCache>
                <c:formatCode>General</c:formatCode>
                <c:ptCount val="4"/>
                <c:pt idx="0">
                  <c:v>70</c:v>
                </c:pt>
                <c:pt idx="1">
                  <c:v>105</c:v>
                </c:pt>
                <c:pt idx="2">
                  <c:v>260</c:v>
                </c:pt>
                <c:pt idx="3">
                  <c:v>85</c:v>
                </c:pt>
              </c:numCache>
            </c:numRef>
          </c:val>
          <c:smooth val="0"/>
          <c:extLst>
            <c:ext xmlns:c16="http://schemas.microsoft.com/office/drawing/2014/chart" uri="{C3380CC4-5D6E-409C-BE32-E72D297353CC}">
              <c16:uniqueId val="{00000000-1440-49DD-8205-98257CDDA21A}"/>
            </c:ext>
          </c:extLst>
        </c:ser>
        <c:dLbls>
          <c:showLegendKey val="0"/>
          <c:showVal val="0"/>
          <c:showCatName val="0"/>
          <c:showSerName val="0"/>
          <c:showPercent val="0"/>
          <c:showBubbleSize val="0"/>
        </c:dLbls>
        <c:smooth val="0"/>
        <c:axId val="1133410544"/>
        <c:axId val="909307568"/>
      </c:lineChart>
      <c:catAx>
        <c:axId val="1133410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307568"/>
        <c:crosses val="autoZero"/>
        <c:auto val="1"/>
        <c:lblAlgn val="ctr"/>
        <c:lblOffset val="100"/>
        <c:noMultiLvlLbl val="0"/>
      </c:catAx>
      <c:valAx>
        <c:axId val="909307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410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60960</xdr:colOff>
      <xdr:row>25</xdr:row>
      <xdr:rowOff>137160</xdr:rowOff>
    </xdr:from>
    <xdr:to>
      <xdr:col>11</xdr:col>
      <xdr:colOff>190500</xdr:colOff>
      <xdr:row>40</xdr:row>
      <xdr:rowOff>137160</xdr:rowOff>
    </xdr:to>
    <xdr:graphicFrame macro="">
      <xdr:nvGraphicFramePr>
        <xdr:cNvPr id="2" name="Chart 1">
          <a:extLst>
            <a:ext uri="{FF2B5EF4-FFF2-40B4-BE49-F238E27FC236}">
              <a16:creationId xmlns:a16="http://schemas.microsoft.com/office/drawing/2014/main" id="{CDDB02C8-E45A-3E76-2269-7CD14E4ECB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144780</xdr:colOff>
      <xdr:row>0</xdr:row>
      <xdr:rowOff>80010</xdr:rowOff>
    </xdr:from>
    <xdr:to>
      <xdr:col>11</xdr:col>
      <xdr:colOff>449580</xdr:colOff>
      <xdr:row>15</xdr:row>
      <xdr:rowOff>80010</xdr:rowOff>
    </xdr:to>
    <xdr:graphicFrame macro="">
      <xdr:nvGraphicFramePr>
        <xdr:cNvPr id="2" name="Chart 1">
          <a:extLst>
            <a:ext uri="{FF2B5EF4-FFF2-40B4-BE49-F238E27FC236}">
              <a16:creationId xmlns:a16="http://schemas.microsoft.com/office/drawing/2014/main" id="{E462CC9C-FA66-CF7D-A344-C999B6ED3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419100</xdr:colOff>
      <xdr:row>18</xdr:row>
      <xdr:rowOff>99060</xdr:rowOff>
    </xdr:from>
    <xdr:to>
      <xdr:col>12</xdr:col>
      <xdr:colOff>144780</xdr:colOff>
      <xdr:row>33</xdr:row>
      <xdr:rowOff>99060</xdr:rowOff>
    </xdr:to>
    <xdr:graphicFrame macro="">
      <xdr:nvGraphicFramePr>
        <xdr:cNvPr id="3" name="Chart 2">
          <a:extLst>
            <a:ext uri="{FF2B5EF4-FFF2-40B4-BE49-F238E27FC236}">
              <a16:creationId xmlns:a16="http://schemas.microsoft.com/office/drawing/2014/main" id="{1D71B11F-DCFD-F9F2-3F34-5A7505E2CA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16</xdr:col>
      <xdr:colOff>30480</xdr:colOff>
      <xdr:row>22</xdr:row>
      <xdr:rowOff>45720</xdr:rowOff>
    </xdr:from>
    <xdr:to>
      <xdr:col>19</xdr:col>
      <xdr:colOff>30480</xdr:colOff>
      <xdr:row>36</xdr:row>
      <xdr:rowOff>66675</xdr:rowOff>
    </xdr:to>
    <mc:AlternateContent xmlns:mc="http://schemas.openxmlformats.org/markup-compatibility/2006">
      <mc:Choice xmlns:a14="http://schemas.microsoft.com/office/drawing/2010/main" Requires="a14">
        <xdr:graphicFrame macro="">
          <xdr:nvGraphicFramePr>
            <xdr:cNvPr id="4" name="Delivery Partner">
              <a:extLst>
                <a:ext uri="{FF2B5EF4-FFF2-40B4-BE49-F238E27FC236}">
                  <a16:creationId xmlns:a16="http://schemas.microsoft.com/office/drawing/2014/main" id="{68D9342E-D62E-BB2A-A907-23407A7E8CD6}"/>
                </a:ext>
              </a:extLst>
            </xdr:cNvPr>
            <xdr:cNvGraphicFramePr/>
          </xdr:nvGraphicFramePr>
          <xdr:xfrm>
            <a:off x="0" y="0"/>
            <a:ext cx="0" cy="0"/>
          </xdr:xfrm>
          <a:graphic>
            <a:graphicData uri="http://schemas.microsoft.com/office/drawing/2010/slicer">
              <sle:slicer xmlns:sle="http://schemas.microsoft.com/office/drawing/2010/slicer" name="Delivery Partner"/>
            </a:graphicData>
          </a:graphic>
        </xdr:graphicFrame>
      </mc:Choice>
      <mc:Fallback>
        <xdr:sp macro="" textlink="">
          <xdr:nvSpPr>
            <xdr:cNvPr id="0" name=""/>
            <xdr:cNvSpPr>
              <a:spLocks noTextEdit="1"/>
            </xdr:cNvSpPr>
          </xdr:nvSpPr>
          <xdr:spPr>
            <a:xfrm>
              <a:off x="10287000" y="40690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289560</xdr:colOff>
      <xdr:row>2</xdr:row>
      <xdr:rowOff>144780</xdr:rowOff>
    </xdr:from>
    <xdr:to>
      <xdr:col>11</xdr:col>
      <xdr:colOff>594360</xdr:colOff>
      <xdr:row>17</xdr:row>
      <xdr:rowOff>144780</xdr:rowOff>
    </xdr:to>
    <xdr:graphicFrame macro="">
      <xdr:nvGraphicFramePr>
        <xdr:cNvPr id="2" name="Chart 1">
          <a:extLst>
            <a:ext uri="{FF2B5EF4-FFF2-40B4-BE49-F238E27FC236}">
              <a16:creationId xmlns:a16="http://schemas.microsoft.com/office/drawing/2014/main" id="{C3235622-68D3-4E3B-98CD-2D4B6B69C8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541020</xdr:colOff>
      <xdr:row>2</xdr:row>
      <xdr:rowOff>167640</xdr:rowOff>
    </xdr:from>
    <xdr:to>
      <xdr:col>20</xdr:col>
      <xdr:colOff>236220</xdr:colOff>
      <xdr:row>17</xdr:row>
      <xdr:rowOff>167640</xdr:rowOff>
    </xdr:to>
    <xdr:graphicFrame macro="">
      <xdr:nvGraphicFramePr>
        <xdr:cNvPr id="3" name="Chart 2">
          <a:extLst>
            <a:ext uri="{FF2B5EF4-FFF2-40B4-BE49-F238E27FC236}">
              <a16:creationId xmlns:a16="http://schemas.microsoft.com/office/drawing/2014/main" id="{3FB66AB8-0B22-492B-9220-A7DCD00511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320040</xdr:colOff>
      <xdr:row>3</xdr:row>
      <xdr:rowOff>99060</xdr:rowOff>
    </xdr:from>
    <xdr:to>
      <xdr:col>3</xdr:col>
      <xdr:colOff>365760</xdr:colOff>
      <xdr:row>10</xdr:row>
      <xdr:rowOff>121920</xdr:rowOff>
    </xdr:to>
    <xdr:sp macro="" textlink="">
      <xdr:nvSpPr>
        <xdr:cNvPr id="4" name="Rectangle: Rounded Corners 3">
          <a:extLst>
            <a:ext uri="{FF2B5EF4-FFF2-40B4-BE49-F238E27FC236}">
              <a16:creationId xmlns:a16="http://schemas.microsoft.com/office/drawing/2014/main" id="{F4E68CF8-5EFE-C1CD-C1A3-6C4BE408F0CF}"/>
            </a:ext>
          </a:extLst>
        </xdr:cNvPr>
        <xdr:cNvSpPr/>
      </xdr:nvSpPr>
      <xdr:spPr>
        <a:xfrm>
          <a:off x="320040" y="647700"/>
          <a:ext cx="1874520" cy="13030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t>Average</a:t>
          </a:r>
          <a:r>
            <a:rPr lang="en-IN" sz="1400" baseline="0"/>
            <a:t> delivery time</a:t>
          </a:r>
          <a:endParaRPr lang="en-IN" sz="1400"/>
        </a:p>
      </xdr:txBody>
    </xdr:sp>
    <xdr:clientData/>
  </xdr:twoCellAnchor>
  <xdr:twoCellAnchor>
    <xdr:from>
      <xdr:col>0</xdr:col>
      <xdr:colOff>480060</xdr:colOff>
      <xdr:row>6</xdr:row>
      <xdr:rowOff>76200</xdr:rowOff>
    </xdr:from>
    <xdr:to>
      <xdr:col>3</xdr:col>
      <xdr:colOff>83820</xdr:colOff>
      <xdr:row>9</xdr:row>
      <xdr:rowOff>114300</xdr:rowOff>
    </xdr:to>
    <xdr:sp macro="" textlink="Sheet4!$B$23">
      <xdr:nvSpPr>
        <xdr:cNvPr id="5" name="TextBox 4">
          <a:extLst>
            <a:ext uri="{FF2B5EF4-FFF2-40B4-BE49-F238E27FC236}">
              <a16:creationId xmlns:a16="http://schemas.microsoft.com/office/drawing/2014/main" id="{AA74EA5D-578A-991A-9C97-F3D91F3C7F4E}"/>
            </a:ext>
          </a:extLst>
        </xdr:cNvPr>
        <xdr:cNvSpPr txBox="1"/>
      </xdr:nvSpPr>
      <xdr:spPr>
        <a:xfrm>
          <a:off x="480060" y="1173480"/>
          <a:ext cx="1432560" cy="5867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7601A87-B06C-448E-B884-E509EB902F6B}" type="TxLink">
            <a:rPr lang="en-US" sz="3600" b="0" i="0" u="none" strike="noStrike">
              <a:solidFill>
                <a:srgbClr val="000000"/>
              </a:solidFill>
              <a:latin typeface="Aptos Narrow"/>
            </a:rPr>
            <a:t>1635</a:t>
          </a:fld>
          <a:endParaRPr lang="en-IN" sz="3600"/>
        </a:p>
      </xdr:txBody>
    </xdr:sp>
    <xdr:clientData/>
  </xdr:twoCellAnchor>
  <xdr:twoCellAnchor editAs="oneCell">
    <xdr:from>
      <xdr:col>8</xdr:col>
      <xdr:colOff>0</xdr:colOff>
      <xdr:row>22</xdr:row>
      <xdr:rowOff>0</xdr:rowOff>
    </xdr:from>
    <xdr:to>
      <xdr:col>11</xdr:col>
      <xdr:colOff>0</xdr:colOff>
      <xdr:row>36</xdr:row>
      <xdr:rowOff>20955</xdr:rowOff>
    </xdr:to>
    <mc:AlternateContent xmlns:mc="http://schemas.openxmlformats.org/markup-compatibility/2006">
      <mc:Choice xmlns:a14="http://schemas.microsoft.com/office/drawing/2010/main" Requires="a14">
        <xdr:graphicFrame macro="">
          <xdr:nvGraphicFramePr>
            <xdr:cNvPr id="6" name="Delivery Partner 1">
              <a:extLst>
                <a:ext uri="{FF2B5EF4-FFF2-40B4-BE49-F238E27FC236}">
                  <a16:creationId xmlns:a16="http://schemas.microsoft.com/office/drawing/2014/main" id="{F99DEEF5-9362-447D-AD6E-417726AC9DED}"/>
                </a:ext>
              </a:extLst>
            </xdr:cNvPr>
            <xdr:cNvGraphicFramePr/>
          </xdr:nvGraphicFramePr>
          <xdr:xfrm>
            <a:off x="0" y="0"/>
            <a:ext cx="0" cy="0"/>
          </xdr:xfrm>
          <a:graphic>
            <a:graphicData uri="http://schemas.microsoft.com/office/drawing/2010/slicer">
              <sle:slicer xmlns:sle="http://schemas.microsoft.com/office/drawing/2010/slicer" name="Delivery Partner 1"/>
            </a:graphicData>
          </a:graphic>
        </xdr:graphicFrame>
      </mc:Choice>
      <mc:Fallback>
        <xdr:sp macro="" textlink="">
          <xdr:nvSpPr>
            <xdr:cNvPr id="0" name=""/>
            <xdr:cNvSpPr>
              <a:spLocks noTextEdit="1"/>
            </xdr:cNvSpPr>
          </xdr:nvSpPr>
          <xdr:spPr>
            <a:xfrm>
              <a:off x="4876800" y="40233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335280</xdr:colOff>
      <xdr:row>12</xdr:row>
      <xdr:rowOff>60960</xdr:rowOff>
    </xdr:from>
    <xdr:to>
      <xdr:col>3</xdr:col>
      <xdr:colOff>365760</xdr:colOff>
      <xdr:row>19</xdr:row>
      <xdr:rowOff>45720</xdr:rowOff>
    </xdr:to>
    <xdr:sp macro="" textlink="">
      <xdr:nvSpPr>
        <xdr:cNvPr id="7" name="Rectangle: Rounded Corners 6">
          <a:extLst>
            <a:ext uri="{FF2B5EF4-FFF2-40B4-BE49-F238E27FC236}">
              <a16:creationId xmlns:a16="http://schemas.microsoft.com/office/drawing/2014/main" id="{C3E78609-CE40-923B-9FEB-ACE84B35B674}"/>
            </a:ext>
          </a:extLst>
        </xdr:cNvPr>
        <xdr:cNvSpPr/>
      </xdr:nvSpPr>
      <xdr:spPr>
        <a:xfrm>
          <a:off x="335280" y="2255520"/>
          <a:ext cx="1859280" cy="12649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t>Total orders</a:t>
          </a:r>
        </a:p>
      </xdr:txBody>
    </xdr:sp>
    <xdr:clientData/>
  </xdr:twoCellAnchor>
  <xdr:twoCellAnchor>
    <xdr:from>
      <xdr:col>0</xdr:col>
      <xdr:colOff>510540</xdr:colOff>
      <xdr:row>15</xdr:row>
      <xdr:rowOff>99060</xdr:rowOff>
    </xdr:from>
    <xdr:to>
      <xdr:col>3</xdr:col>
      <xdr:colOff>129540</xdr:colOff>
      <xdr:row>18</xdr:row>
      <xdr:rowOff>30480</xdr:rowOff>
    </xdr:to>
    <xdr:sp macro="" textlink="Sheet4!S7">
      <xdr:nvSpPr>
        <xdr:cNvPr id="8" name="TextBox 7">
          <a:extLst>
            <a:ext uri="{FF2B5EF4-FFF2-40B4-BE49-F238E27FC236}">
              <a16:creationId xmlns:a16="http://schemas.microsoft.com/office/drawing/2014/main" id="{72DD2F7E-64BA-235B-10BD-70D4234B4172}"/>
            </a:ext>
          </a:extLst>
        </xdr:cNvPr>
        <xdr:cNvSpPr txBox="1"/>
      </xdr:nvSpPr>
      <xdr:spPr>
        <a:xfrm>
          <a:off x="510540" y="2842260"/>
          <a:ext cx="1447800" cy="4800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87518B9-47BB-4364-A378-4F2F73B650F3}" type="TxLink">
            <a:rPr lang="en-US" sz="3200" b="0" i="0" u="none" strike="noStrike">
              <a:solidFill>
                <a:srgbClr val="000000"/>
              </a:solidFill>
              <a:latin typeface="Aptos Narrow"/>
            </a:rPr>
            <a:pPr algn="ctr"/>
            <a:t>695</a:t>
          </a:fld>
          <a:endParaRPr lang="en-IN" sz="32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ya Purohit" refreshedDate="46268.517842824076" createdVersion="8" refreshedVersion="8" minRefreshableVersion="3" recordCount="20" xr:uid="{09A2C545-DA80-4340-A475-F251C8E37294}">
  <cacheSource type="worksheet">
    <worksheetSource ref="A1:C21" sheet="Sheet3"/>
  </cacheSource>
  <cacheFields count="3">
    <cacheField name="Delivery Date" numFmtId="0">
      <sharedItems count="20">
        <s v="01‑01‑2026"/>
        <s v="02‑01‑2026"/>
        <s v="03‑01‑2026"/>
        <s v="04‑01‑2026"/>
        <s v="05‑01‑2026"/>
        <s v="06‑01‑2026"/>
        <s v="07‑01‑2026"/>
        <s v="08‑01‑2026"/>
        <s v="09‑01‑2026"/>
        <s v="10‑01‑2026"/>
        <s v="11‑01‑2026"/>
        <s v="12‑01‑2026"/>
        <s v="13‑01‑2026"/>
        <s v="14‑01‑2026"/>
        <s v="15‑01‑2026"/>
        <s v="16‑01‑2026"/>
        <s v="17‑01‑2026"/>
        <s v="18‑01‑2026"/>
        <s v="19‑01‑2026"/>
        <s v="20‑01‑2026"/>
      </sharedItems>
    </cacheField>
    <cacheField name="Total Orders" numFmtId="0">
      <sharedItems containsSemiMixedTypes="0" containsString="0" containsNumber="1" containsInteger="1" minValue="40" maxValue="140" count="18">
        <n v="120"/>
        <n v="95"/>
        <n v="80"/>
        <n v="60"/>
        <n v="45"/>
        <n v="130"/>
        <n v="50"/>
        <n v="70"/>
        <n v="110"/>
        <n v="85"/>
        <n v="65"/>
        <n v="40"/>
        <n v="100"/>
        <n v="55"/>
        <n v="75"/>
        <n v="140"/>
        <n v="90"/>
        <n v="105"/>
      </sharedItems>
    </cacheField>
    <cacheField name="Total Delivery Charges" numFmtId="6">
      <sharedItems containsSemiMixedTypes="0" containsString="0" containsNumber="1" containsInteger="1" minValue="800" maxValue="28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ya Purohit" refreshedDate="46268.523532754632" createdVersion="8" refreshedVersion="8" minRefreshableVersion="3" recordCount="20" xr:uid="{F8CBA8FB-8835-4AF8-8711-A2C08D1EDE63}">
  <cacheSource type="worksheet">
    <worksheetSource ref="A1:G21" sheet="Sheet2"/>
  </cacheSource>
  <cacheFields count="7">
    <cacheField name="Order ID" numFmtId="0">
      <sharedItems containsSemiMixedTypes="0" containsString="0" containsNumber="1" containsInteger="1" minValue="1001" maxValue="1020"/>
    </cacheField>
    <cacheField name="Date" numFmtId="14">
      <sharedItems containsSemiMixedTypes="0" containsNonDate="0" containsDate="1" containsString="0" minDate="2026-01-01T00:00:00" maxDate="2026-01-21T00:00:00"/>
    </cacheField>
    <cacheField name="Cuisine" numFmtId="0">
      <sharedItems count="7">
        <s v="Indian"/>
        <s v="Chinese"/>
        <s v="Italian"/>
        <s v="Mexican"/>
        <s v="Japanese"/>
        <s v="Thai"/>
        <s v="American"/>
      </sharedItems>
    </cacheField>
    <cacheField name="Orders" numFmtId="0">
      <sharedItems containsSemiMixedTypes="0" containsString="0" containsNumber="1" containsInteger="1" minValue="40" maxValue="140"/>
    </cacheField>
    <cacheField name="Revenue (₹)" numFmtId="3">
      <sharedItems containsSemiMixedTypes="0" containsString="0" containsNumber="1" containsInteger="1" minValue="8000" maxValue="21000"/>
    </cacheField>
    <cacheField name="Delivery Partner" numFmtId="0">
      <sharedItems count="3">
        <s v="Swiggy"/>
        <s v="Unassigned"/>
        <s v="Zomato"/>
      </sharedItems>
    </cacheField>
    <cacheField name="Day" numFmtId="0">
      <sharedItems/>
    </cacheField>
  </cacheFields>
  <extLst>
    <ext xmlns:x14="http://schemas.microsoft.com/office/spreadsheetml/2009/9/main" uri="{725AE2AE-9491-48be-B2B4-4EB974FC3084}">
      <x14:pivotCacheDefinition pivotCacheId="10899416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n v="2400"/>
  </r>
  <r>
    <x v="1"/>
    <x v="1"/>
    <n v="1900"/>
  </r>
  <r>
    <x v="2"/>
    <x v="2"/>
    <n v="1600"/>
  </r>
  <r>
    <x v="3"/>
    <x v="3"/>
    <n v="1200"/>
  </r>
  <r>
    <x v="4"/>
    <x v="4"/>
    <n v="900"/>
  </r>
  <r>
    <x v="5"/>
    <x v="5"/>
    <n v="2600"/>
  </r>
  <r>
    <x v="6"/>
    <x v="6"/>
    <n v="1000"/>
  </r>
  <r>
    <x v="7"/>
    <x v="7"/>
    <n v="1400"/>
  </r>
  <r>
    <x v="8"/>
    <x v="8"/>
    <n v="2200"/>
  </r>
  <r>
    <x v="9"/>
    <x v="9"/>
    <n v="1700"/>
  </r>
  <r>
    <x v="10"/>
    <x v="10"/>
    <n v="1300"/>
  </r>
  <r>
    <x v="11"/>
    <x v="11"/>
    <n v="800"/>
  </r>
  <r>
    <x v="12"/>
    <x v="12"/>
    <n v="2000"/>
  </r>
  <r>
    <x v="13"/>
    <x v="13"/>
    <n v="1100"/>
  </r>
  <r>
    <x v="14"/>
    <x v="14"/>
    <n v="1500"/>
  </r>
  <r>
    <x v="15"/>
    <x v="15"/>
    <n v="2800"/>
  </r>
  <r>
    <x v="16"/>
    <x v="16"/>
    <n v="1800"/>
  </r>
  <r>
    <x v="17"/>
    <x v="7"/>
    <n v="1400"/>
  </r>
  <r>
    <x v="18"/>
    <x v="6"/>
    <n v="1000"/>
  </r>
  <r>
    <x v="19"/>
    <x v="17"/>
    <n v="21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001"/>
    <d v="2026-01-01T00:00:00"/>
    <x v="0"/>
    <n v="120"/>
    <n v="18000"/>
    <x v="0"/>
    <s v="Thursday"/>
  </r>
  <r>
    <n v="1002"/>
    <d v="2026-01-02T00:00:00"/>
    <x v="1"/>
    <n v="95"/>
    <n v="14250"/>
    <x v="1"/>
    <s v="Friday"/>
  </r>
  <r>
    <n v="1003"/>
    <d v="2026-01-03T00:00:00"/>
    <x v="2"/>
    <n v="80"/>
    <n v="12000"/>
    <x v="2"/>
    <s v="Saturday"/>
  </r>
  <r>
    <n v="1004"/>
    <d v="2026-01-04T00:00:00"/>
    <x v="3"/>
    <n v="60"/>
    <n v="9000"/>
    <x v="1"/>
    <s v="Sunday"/>
  </r>
  <r>
    <n v="1005"/>
    <d v="2026-01-05T00:00:00"/>
    <x v="4"/>
    <n v="45"/>
    <n v="9000"/>
    <x v="0"/>
    <s v="Monday"/>
  </r>
  <r>
    <n v="1006"/>
    <d v="2026-01-06T00:00:00"/>
    <x v="0"/>
    <n v="130"/>
    <n v="19500"/>
    <x v="2"/>
    <s v="Tuesday"/>
  </r>
  <r>
    <n v="1007"/>
    <d v="2026-01-07T00:00:00"/>
    <x v="5"/>
    <n v="50"/>
    <n v="8000"/>
    <x v="1"/>
    <s v="Wednesday"/>
  </r>
  <r>
    <n v="1008"/>
    <d v="2026-01-08T00:00:00"/>
    <x v="6"/>
    <n v="70"/>
    <n v="14000"/>
    <x v="0"/>
    <s v="Thursday"/>
  </r>
  <r>
    <n v="1009"/>
    <d v="2026-01-09T00:00:00"/>
    <x v="0"/>
    <n v="110"/>
    <n v="16500"/>
    <x v="1"/>
    <s v="Friday"/>
  </r>
  <r>
    <n v="1010"/>
    <d v="2026-01-10T00:00:00"/>
    <x v="2"/>
    <n v="85"/>
    <n v="12750"/>
    <x v="2"/>
    <s v="Saturday"/>
  </r>
  <r>
    <n v="1011"/>
    <d v="2026-01-11T00:00:00"/>
    <x v="3"/>
    <n v="65"/>
    <n v="9750"/>
    <x v="1"/>
    <s v="Sunday"/>
  </r>
  <r>
    <n v="1012"/>
    <d v="2026-01-12T00:00:00"/>
    <x v="4"/>
    <n v="40"/>
    <n v="8000"/>
    <x v="0"/>
    <s v="Monday"/>
  </r>
  <r>
    <n v="1013"/>
    <d v="2026-01-13T00:00:00"/>
    <x v="1"/>
    <n v="100"/>
    <n v="15000"/>
    <x v="1"/>
    <s v="Tuesday"/>
  </r>
  <r>
    <n v="1014"/>
    <d v="2026-01-14T00:00:00"/>
    <x v="5"/>
    <n v="55"/>
    <n v="8250"/>
    <x v="2"/>
    <s v="Wednesday"/>
  </r>
  <r>
    <n v="1015"/>
    <d v="2026-01-15T00:00:00"/>
    <x v="6"/>
    <n v="75"/>
    <n v="15000"/>
    <x v="1"/>
    <s v="Thursday"/>
  </r>
  <r>
    <n v="1016"/>
    <d v="2026-01-16T00:00:00"/>
    <x v="0"/>
    <n v="140"/>
    <n v="21000"/>
    <x v="0"/>
    <s v="Friday"/>
  </r>
  <r>
    <n v="1017"/>
    <d v="2026-01-17T00:00:00"/>
    <x v="2"/>
    <n v="90"/>
    <n v="13500"/>
    <x v="1"/>
    <s v="Saturday"/>
  </r>
  <r>
    <n v="1018"/>
    <d v="2026-01-18T00:00:00"/>
    <x v="3"/>
    <n v="70"/>
    <n v="10500"/>
    <x v="2"/>
    <s v="Sunday"/>
  </r>
  <r>
    <n v="1019"/>
    <d v="2026-01-19T00:00:00"/>
    <x v="4"/>
    <n v="50"/>
    <n v="10000"/>
    <x v="1"/>
    <s v="Monday"/>
  </r>
  <r>
    <n v="1020"/>
    <d v="2026-01-20T00:00:00"/>
    <x v="1"/>
    <n v="105"/>
    <n v="15750"/>
    <x v="0"/>
    <s v="Tuesd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1B3901-DC31-4662-BE58-2C22550C0CF7}"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I3:J24" firstHeaderRow="1" firstDataRow="1" firstDataCol="1"/>
  <pivotFields count="3">
    <pivotField axis="axisRow" showAll="0">
      <items count="21">
        <item x="0"/>
        <item x="1"/>
        <item x="2"/>
        <item x="3"/>
        <item x="4"/>
        <item x="5"/>
        <item x="6"/>
        <item x="7"/>
        <item x="8"/>
        <item x="9"/>
        <item x="10"/>
        <item x="11"/>
        <item x="12"/>
        <item x="13"/>
        <item x="14"/>
        <item x="15"/>
        <item x="16"/>
        <item x="17"/>
        <item x="18"/>
        <item x="19"/>
        <item t="default"/>
      </items>
    </pivotField>
    <pivotField showAll="0">
      <items count="19">
        <item x="11"/>
        <item x="4"/>
        <item x="6"/>
        <item x="13"/>
        <item x="3"/>
        <item x="10"/>
        <item x="7"/>
        <item x="14"/>
        <item x="2"/>
        <item x="9"/>
        <item x="16"/>
        <item x="1"/>
        <item x="12"/>
        <item x="17"/>
        <item x="8"/>
        <item x="0"/>
        <item x="5"/>
        <item x="15"/>
        <item t="default"/>
      </items>
    </pivotField>
    <pivotField dataField="1" numFmtId="6" showAl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Total Delivery Charges" fld="2" baseField="0" baseItem="0" numFmtId="6"/>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0F5C4C-F18A-4B50-8186-A61C1B531C0A}" name="Top 3 Restaurent "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30:C35" firstHeaderRow="1" firstDataRow="1" firstDataCol="1"/>
  <pivotFields count="7">
    <pivotField showAll="0"/>
    <pivotField numFmtId="14" showAll="0"/>
    <pivotField axis="axisRow" showAll="0">
      <items count="8">
        <item x="6"/>
        <item x="1"/>
        <item x="0"/>
        <item x="2"/>
        <item x="4"/>
        <item x="3"/>
        <item x="5"/>
        <item t="default"/>
      </items>
    </pivotField>
    <pivotField dataField="1" showAll="0"/>
    <pivotField numFmtId="3" showAll="0"/>
    <pivotField showAll="0">
      <items count="4">
        <item x="0"/>
        <item h="1" x="1"/>
        <item h="1" x="2"/>
        <item t="default"/>
      </items>
    </pivotField>
    <pivotField showAll="0"/>
  </pivotFields>
  <rowFields count="1">
    <field x="2"/>
  </rowFields>
  <rowItems count="5">
    <i>
      <x/>
    </i>
    <i>
      <x v="1"/>
    </i>
    <i>
      <x v="2"/>
    </i>
    <i>
      <x v="4"/>
    </i>
    <i t="grand">
      <x/>
    </i>
  </rowItems>
  <colItems count="1">
    <i/>
  </colItems>
  <dataFields count="1">
    <dataField name="Sum of Orders" fld="3" baseField="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0DA164-94E1-4DB7-86DC-DF8F9F3E01A8}" name="Average_delivery_time"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1:B22" firstHeaderRow="1" firstDataRow="1" firstDataCol="0"/>
  <pivotFields count="3">
    <pivotField showAll="0"/>
    <pivotField showAll="0"/>
    <pivotField dataField="1" numFmtId="6" showAll="0"/>
  </pivotFields>
  <rowItems count="1">
    <i/>
  </rowItems>
  <colItems count="1">
    <i/>
  </colItems>
  <dataFields count="1">
    <dataField name="Average of Total Delivery Charges" fld="2" subtotal="average" baseField="0" baseItem="0" numFmtId="6"/>
  </dataFields>
  <formats count="3">
    <format dxfId="6">
      <pivotArea type="all" dataOnly="0" outline="0" fieldPosition="0"/>
    </format>
    <format dxfId="5">
      <pivotArea outline="0" collapsedLevelsAreSubtotals="1" fieldPosition="0"/>
    </format>
    <format dxfId="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D8BE1E-AFCB-4F11-9CE7-C9E60068A635}" name="Total_order"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6:C11" firstHeaderRow="1" firstDataRow="1" firstDataCol="1"/>
  <pivotFields count="7">
    <pivotField showAll="0"/>
    <pivotField numFmtId="14" showAll="0"/>
    <pivotField axis="axisRow" showAll="0">
      <items count="8">
        <item x="6"/>
        <item x="1"/>
        <item x="0"/>
        <item x="2"/>
        <item x="4"/>
        <item x="3"/>
        <item x="5"/>
        <item t="default"/>
      </items>
    </pivotField>
    <pivotField dataField="1" showAll="0"/>
    <pivotField numFmtId="3" showAll="0"/>
    <pivotField showAll="0">
      <items count="4">
        <item x="0"/>
        <item h="1" x="1"/>
        <item h="1" x="2"/>
        <item t="default"/>
      </items>
    </pivotField>
    <pivotField showAll="0"/>
  </pivotFields>
  <rowFields count="1">
    <field x="2"/>
  </rowFields>
  <rowItems count="5">
    <i>
      <x/>
    </i>
    <i>
      <x v="1"/>
    </i>
    <i>
      <x v="2"/>
    </i>
    <i>
      <x v="4"/>
    </i>
    <i t="grand">
      <x/>
    </i>
  </rowItems>
  <colItems count="1">
    <i/>
  </colItems>
  <dataFields count="1">
    <dataField name="Sum of Orders" fld="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Partner" xr10:uid="{FF646516-6039-4DA2-A4F2-ED3FCED7F783}" sourceName="Delivery Partner">
  <pivotTables>
    <pivotTable tabId="4" name="Total_order"/>
    <pivotTable tabId="4" name="Top 3 Restaurent "/>
  </pivotTables>
  <data>
    <tabular pivotCacheId="1089941610">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livery Partner" xr10:uid="{826B1844-C1FD-466C-B5DB-5627D98985FF}" cache="Slicer_Delivery_Partner" caption="Delivery Partner"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livery Partner 1" xr10:uid="{F2C0E5F8-907D-4E1A-9593-5326A9EC8C6C}" cache="Slicer_Delivery_Partner" caption="Delivery Partner"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microsoft.com/office/2007/relationships/slicer" Target="../slicers/slicer1.xml"/><Relationship Id="rId4"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0CC16-729F-442E-81C2-59BE48D4D832}">
  <dimension ref="A1:F22"/>
  <sheetViews>
    <sheetView workbookViewId="0">
      <selection activeCell="B2" sqref="B2"/>
    </sheetView>
  </sheetViews>
  <sheetFormatPr defaultRowHeight="14.4" x14ac:dyDescent="0.3"/>
  <cols>
    <col min="2" max="2" width="25" customWidth="1"/>
    <col min="3" max="3" width="8.77734375" bestFit="1" customWidth="1"/>
  </cols>
  <sheetData>
    <row r="1" spans="1:6" ht="18" customHeight="1" x14ac:dyDescent="0.3">
      <c r="A1" s="1" t="s">
        <v>0</v>
      </c>
      <c r="B1" s="1" t="s">
        <v>1</v>
      </c>
      <c r="C1" s="1" t="s">
        <v>2</v>
      </c>
      <c r="D1" s="1" t="s">
        <v>3</v>
      </c>
      <c r="E1" s="1" t="s">
        <v>4</v>
      </c>
      <c r="F1" s="1" t="s">
        <v>5</v>
      </c>
    </row>
    <row r="2" spans="1:6" ht="18" customHeight="1" x14ac:dyDescent="0.3">
      <c r="A2" s="1">
        <v>1001</v>
      </c>
      <c r="B2" s="2">
        <v>46023</v>
      </c>
      <c r="C2" s="3" t="s">
        <v>6</v>
      </c>
      <c r="D2" s="3">
        <v>120</v>
      </c>
      <c r="E2" s="4">
        <v>18000</v>
      </c>
      <c r="F2" s="3" t="s">
        <v>7</v>
      </c>
    </row>
    <row r="3" spans="1:6" ht="18" customHeight="1" x14ac:dyDescent="0.3">
      <c r="A3" s="1">
        <v>1002</v>
      </c>
      <c r="B3" s="3" t="s">
        <v>8</v>
      </c>
      <c r="C3" s="3" t="s">
        <v>9</v>
      </c>
      <c r="D3" s="3">
        <v>95</v>
      </c>
      <c r="E3" s="4">
        <v>14250</v>
      </c>
      <c r="F3" s="3"/>
    </row>
    <row r="4" spans="1:6" ht="18" customHeight="1" x14ac:dyDescent="0.3">
      <c r="A4" s="1">
        <v>1003</v>
      </c>
      <c r="B4" s="2">
        <v>46025</v>
      </c>
      <c r="C4" s="3" t="s">
        <v>10</v>
      </c>
      <c r="D4" s="3">
        <v>80</v>
      </c>
      <c r="E4" s="4">
        <v>12000</v>
      </c>
      <c r="F4" s="3" t="s">
        <v>11</v>
      </c>
    </row>
    <row r="5" spans="1:6" ht="18" customHeight="1" x14ac:dyDescent="0.3">
      <c r="A5" s="1">
        <v>1004</v>
      </c>
      <c r="B5" s="2">
        <v>46026</v>
      </c>
      <c r="C5" s="3" t="s">
        <v>12</v>
      </c>
      <c r="D5" s="3">
        <v>60</v>
      </c>
      <c r="E5" s="4">
        <v>9000</v>
      </c>
      <c r="F5" s="3"/>
    </row>
    <row r="6" spans="1:6" ht="18" customHeight="1" x14ac:dyDescent="0.3">
      <c r="A6" s="1">
        <v>1005</v>
      </c>
      <c r="B6" s="2">
        <v>46027</v>
      </c>
      <c r="C6" s="3" t="s">
        <v>13</v>
      </c>
      <c r="D6" s="3">
        <v>45</v>
      </c>
      <c r="E6" s="4">
        <v>9000</v>
      </c>
      <c r="F6" s="3" t="s">
        <v>7</v>
      </c>
    </row>
    <row r="7" spans="1:6" ht="18" customHeight="1" x14ac:dyDescent="0.3">
      <c r="A7" s="1">
        <v>1002</v>
      </c>
      <c r="B7" s="3" t="s">
        <v>8</v>
      </c>
      <c r="C7" s="3" t="s">
        <v>9</v>
      </c>
      <c r="D7" s="3">
        <v>95</v>
      </c>
      <c r="E7" s="4">
        <v>14250</v>
      </c>
      <c r="F7" s="3"/>
    </row>
    <row r="8" spans="1:6" ht="18" customHeight="1" x14ac:dyDescent="0.3">
      <c r="A8" s="1">
        <v>1006</v>
      </c>
      <c r="B8" s="2">
        <v>46028</v>
      </c>
      <c r="C8" s="3" t="s">
        <v>6</v>
      </c>
      <c r="D8" s="3">
        <v>130</v>
      </c>
      <c r="E8" s="4">
        <v>19500</v>
      </c>
      <c r="F8" s="3" t="s">
        <v>11</v>
      </c>
    </row>
    <row r="9" spans="1:6" ht="18" customHeight="1" x14ac:dyDescent="0.3">
      <c r="A9" s="1">
        <v>1007</v>
      </c>
      <c r="B9" s="2">
        <v>46029</v>
      </c>
      <c r="C9" s="3" t="s">
        <v>14</v>
      </c>
      <c r="D9" s="3">
        <v>50</v>
      </c>
      <c r="E9" s="4">
        <v>8000</v>
      </c>
      <c r="F9" s="3"/>
    </row>
    <row r="10" spans="1:6" ht="18" customHeight="1" x14ac:dyDescent="0.3">
      <c r="A10" s="1">
        <v>1008</v>
      </c>
      <c r="B10" s="5">
        <v>46030</v>
      </c>
      <c r="C10" s="3" t="s">
        <v>15</v>
      </c>
      <c r="D10" s="3">
        <v>70</v>
      </c>
      <c r="E10" s="4">
        <v>14000</v>
      </c>
      <c r="F10" s="3" t="s">
        <v>7</v>
      </c>
    </row>
    <row r="11" spans="1:6" ht="18" customHeight="1" x14ac:dyDescent="0.3">
      <c r="A11" s="1">
        <v>1009</v>
      </c>
      <c r="B11" s="2">
        <v>46031</v>
      </c>
      <c r="C11" s="3" t="s">
        <v>6</v>
      </c>
      <c r="D11" s="3">
        <v>110</v>
      </c>
      <c r="E11" s="4">
        <v>16500</v>
      </c>
      <c r="F11" s="3"/>
    </row>
    <row r="12" spans="1:6" ht="18" customHeight="1" x14ac:dyDescent="0.3">
      <c r="A12" s="1">
        <v>1010</v>
      </c>
      <c r="B12" s="3" t="s">
        <v>16</v>
      </c>
      <c r="C12" s="3" t="s">
        <v>10</v>
      </c>
      <c r="D12" s="3">
        <v>85</v>
      </c>
      <c r="E12" s="4">
        <v>12750</v>
      </c>
      <c r="F12" s="3" t="s">
        <v>11</v>
      </c>
    </row>
    <row r="13" spans="1:6" ht="18" customHeight="1" x14ac:dyDescent="0.3">
      <c r="A13" s="1">
        <v>1011</v>
      </c>
      <c r="B13" s="2">
        <v>46033</v>
      </c>
      <c r="C13" s="3" t="s">
        <v>12</v>
      </c>
      <c r="D13" s="3">
        <v>65</v>
      </c>
      <c r="E13" s="4">
        <v>9750</v>
      </c>
      <c r="F13" s="3"/>
    </row>
    <row r="14" spans="1:6" ht="18" customHeight="1" x14ac:dyDescent="0.3">
      <c r="A14" s="1">
        <v>1012</v>
      </c>
      <c r="B14" s="3" t="s">
        <v>17</v>
      </c>
      <c r="C14" s="3" t="s">
        <v>13</v>
      </c>
      <c r="D14" s="3">
        <v>40</v>
      </c>
      <c r="E14" s="4">
        <v>8000</v>
      </c>
      <c r="F14" s="3" t="s">
        <v>7</v>
      </c>
    </row>
    <row r="15" spans="1:6" ht="18" customHeight="1" x14ac:dyDescent="0.3">
      <c r="A15" s="1">
        <v>1013</v>
      </c>
      <c r="B15" s="2">
        <v>46035</v>
      </c>
      <c r="C15" s="3" t="s">
        <v>9</v>
      </c>
      <c r="D15" s="3">
        <v>100</v>
      </c>
      <c r="E15" s="4">
        <v>15000</v>
      </c>
      <c r="F15" s="3"/>
    </row>
    <row r="16" spans="1:6" ht="18" customHeight="1" x14ac:dyDescent="0.3">
      <c r="A16" s="1">
        <v>1014</v>
      </c>
      <c r="B16" s="2">
        <v>46036</v>
      </c>
      <c r="C16" s="3" t="s">
        <v>14</v>
      </c>
      <c r="D16" s="3">
        <v>55</v>
      </c>
      <c r="E16" s="4">
        <v>8250</v>
      </c>
      <c r="F16" s="3" t="s">
        <v>11</v>
      </c>
    </row>
    <row r="17" spans="1:6" ht="18" customHeight="1" x14ac:dyDescent="0.3">
      <c r="A17" s="1">
        <v>1015</v>
      </c>
      <c r="B17" s="5">
        <v>46037</v>
      </c>
      <c r="C17" s="3" t="s">
        <v>15</v>
      </c>
      <c r="D17" s="3">
        <v>75</v>
      </c>
      <c r="E17" s="4">
        <v>15000</v>
      </c>
      <c r="F17" s="3"/>
    </row>
    <row r="18" spans="1:6" ht="18" customHeight="1" x14ac:dyDescent="0.3">
      <c r="A18" s="1">
        <v>1016</v>
      </c>
      <c r="B18" s="2">
        <v>46038</v>
      </c>
      <c r="C18" s="3" t="s">
        <v>6</v>
      </c>
      <c r="D18" s="3">
        <v>140</v>
      </c>
      <c r="E18" s="4">
        <v>21000</v>
      </c>
      <c r="F18" s="3" t="s">
        <v>7</v>
      </c>
    </row>
    <row r="19" spans="1:6" ht="18" customHeight="1" x14ac:dyDescent="0.3">
      <c r="A19" s="1">
        <v>1017</v>
      </c>
      <c r="B19" s="2">
        <v>46039</v>
      </c>
      <c r="C19" s="3" t="s">
        <v>10</v>
      </c>
      <c r="D19" s="3">
        <v>90</v>
      </c>
      <c r="E19" s="4">
        <v>13500</v>
      </c>
      <c r="F19" s="3"/>
    </row>
    <row r="20" spans="1:6" ht="18" customHeight="1" x14ac:dyDescent="0.3">
      <c r="A20" s="1">
        <v>1018</v>
      </c>
      <c r="B20" s="3" t="s">
        <v>18</v>
      </c>
      <c r="C20" s="3" t="s">
        <v>12</v>
      </c>
      <c r="D20" s="3">
        <v>70</v>
      </c>
      <c r="E20" s="4">
        <v>10500</v>
      </c>
      <c r="F20" s="3" t="s">
        <v>11</v>
      </c>
    </row>
    <row r="21" spans="1:6" ht="18" customHeight="1" x14ac:dyDescent="0.3">
      <c r="A21" s="1">
        <v>1019</v>
      </c>
      <c r="B21" s="2">
        <v>46041</v>
      </c>
      <c r="C21" s="3" t="s">
        <v>13</v>
      </c>
      <c r="D21" s="3">
        <v>50</v>
      </c>
      <c r="E21" s="4">
        <v>10000</v>
      </c>
      <c r="F21" s="3"/>
    </row>
    <row r="22" spans="1:6" ht="18" customHeight="1" x14ac:dyDescent="0.3">
      <c r="A22" s="1">
        <v>1020</v>
      </c>
      <c r="B22" s="2">
        <v>46042</v>
      </c>
      <c r="C22" s="3" t="s">
        <v>9</v>
      </c>
      <c r="D22" s="3">
        <v>105</v>
      </c>
      <c r="E22" s="4">
        <v>15750</v>
      </c>
      <c r="F22" s="3"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AA9A2-8DA4-4850-981B-8331A5150AD0}">
  <dimension ref="A1:N51"/>
  <sheetViews>
    <sheetView workbookViewId="0">
      <selection activeCell="F15" sqref="F15"/>
    </sheetView>
  </sheetViews>
  <sheetFormatPr defaultRowHeight="14.4" x14ac:dyDescent="0.3"/>
  <cols>
    <col min="2" max="2" width="13.6640625" customWidth="1"/>
    <col min="5" max="5" width="14.6640625" customWidth="1"/>
    <col min="6" max="6" width="14.44140625" customWidth="1"/>
    <col min="13" max="13" width="11.21875" customWidth="1"/>
    <col min="14" max="14" width="10.33203125" bestFit="1" customWidth="1"/>
  </cols>
  <sheetData>
    <row r="1" spans="1:14" ht="18" customHeight="1" x14ac:dyDescent="0.3">
      <c r="A1" s="1" t="s">
        <v>0</v>
      </c>
      <c r="B1" s="1" t="s">
        <v>1</v>
      </c>
      <c r="C1" s="1" t="s">
        <v>2</v>
      </c>
      <c r="D1" s="1" t="s">
        <v>3</v>
      </c>
      <c r="E1" s="1" t="s">
        <v>4</v>
      </c>
      <c r="F1" s="1" t="s">
        <v>5</v>
      </c>
      <c r="G1" s="1" t="s">
        <v>39</v>
      </c>
    </row>
    <row r="2" spans="1:14" ht="18" customHeight="1" x14ac:dyDescent="0.3">
      <c r="A2" s="6">
        <v>1001</v>
      </c>
      <c r="B2" s="2">
        <v>46023</v>
      </c>
      <c r="C2" s="3" t="s">
        <v>6</v>
      </c>
      <c r="D2" s="3">
        <v>120</v>
      </c>
      <c r="E2" s="4">
        <v>18000</v>
      </c>
      <c r="F2" s="3" t="s">
        <v>7</v>
      </c>
      <c r="G2" t="str">
        <f>TEXT(B2,"dddd")</f>
        <v>Thursday</v>
      </c>
    </row>
    <row r="3" spans="1:14" ht="18" customHeight="1" x14ac:dyDescent="0.3">
      <c r="A3" s="6">
        <v>1002</v>
      </c>
      <c r="B3" s="2">
        <v>46024</v>
      </c>
      <c r="C3" s="3" t="s">
        <v>9</v>
      </c>
      <c r="D3" s="3">
        <v>95</v>
      </c>
      <c r="E3" s="4">
        <v>14250</v>
      </c>
      <c r="F3" s="3" t="s">
        <v>19</v>
      </c>
      <c r="G3" t="str">
        <f t="shared" ref="G3:G21" si="0">TEXT(B3,"dddd")</f>
        <v>Friday</v>
      </c>
    </row>
    <row r="4" spans="1:14" ht="18" customHeight="1" x14ac:dyDescent="0.3">
      <c r="A4" s="6">
        <v>1003</v>
      </c>
      <c r="B4" s="2">
        <v>46025</v>
      </c>
      <c r="C4" s="3" t="s">
        <v>10</v>
      </c>
      <c r="D4" s="3">
        <v>80</v>
      </c>
      <c r="E4" s="4">
        <v>12000</v>
      </c>
      <c r="F4" s="3" t="s">
        <v>11</v>
      </c>
      <c r="G4" t="str">
        <f t="shared" si="0"/>
        <v>Saturday</v>
      </c>
    </row>
    <row r="5" spans="1:14" ht="18" customHeight="1" x14ac:dyDescent="0.3">
      <c r="A5" s="6">
        <v>1004</v>
      </c>
      <c r="B5" s="2">
        <v>46026</v>
      </c>
      <c r="C5" s="3" t="s">
        <v>12</v>
      </c>
      <c r="D5" s="3">
        <v>60</v>
      </c>
      <c r="E5" s="4">
        <v>9000</v>
      </c>
      <c r="F5" s="3" t="s">
        <v>19</v>
      </c>
      <c r="G5" t="str">
        <f t="shared" si="0"/>
        <v>Sunday</v>
      </c>
      <c r="L5" s="8" t="s">
        <v>20</v>
      </c>
      <c r="M5" s="8"/>
    </row>
    <row r="6" spans="1:14" ht="18" customHeight="1" x14ac:dyDescent="0.3">
      <c r="A6" s="6">
        <v>1005</v>
      </c>
      <c r="B6" s="2">
        <v>46027</v>
      </c>
      <c r="C6" s="3" t="s">
        <v>13</v>
      </c>
      <c r="D6" s="3">
        <v>45</v>
      </c>
      <c r="E6" s="4">
        <v>9000</v>
      </c>
      <c r="F6" s="3" t="s">
        <v>7</v>
      </c>
      <c r="G6" t="str">
        <f t="shared" si="0"/>
        <v>Monday</v>
      </c>
      <c r="L6" s="8"/>
      <c r="M6" s="8"/>
    </row>
    <row r="7" spans="1:14" ht="18" customHeight="1" x14ac:dyDescent="0.3">
      <c r="A7" s="6">
        <v>1006</v>
      </c>
      <c r="B7" s="2">
        <v>46028</v>
      </c>
      <c r="C7" s="3" t="s">
        <v>6</v>
      </c>
      <c r="D7" s="3">
        <v>130</v>
      </c>
      <c r="E7" s="4">
        <v>19500</v>
      </c>
      <c r="F7" s="3" t="s">
        <v>11</v>
      </c>
      <c r="G7" t="str">
        <f t="shared" si="0"/>
        <v>Tuesday</v>
      </c>
      <c r="L7" s="9" t="s">
        <v>14</v>
      </c>
      <c r="M7" s="10" t="str">
        <f>VLOOKUP(L7,C1:F21,4,0)</f>
        <v>Unassigned</v>
      </c>
    </row>
    <row r="8" spans="1:14" ht="18" customHeight="1" x14ac:dyDescent="0.3">
      <c r="A8" s="6">
        <v>1007</v>
      </c>
      <c r="B8" s="2">
        <v>46029</v>
      </c>
      <c r="C8" s="3" t="s">
        <v>14</v>
      </c>
      <c r="D8" s="3">
        <v>50</v>
      </c>
      <c r="E8" s="4">
        <v>8000</v>
      </c>
      <c r="F8" s="3" t="s">
        <v>19</v>
      </c>
      <c r="G8" t="str">
        <f t="shared" si="0"/>
        <v>Wednesday</v>
      </c>
      <c r="L8" s="9" t="s">
        <v>13</v>
      </c>
      <c r="M8" s="10" t="str">
        <f>VLOOKUP(L8,C1:F21,4,-1)</f>
        <v>Unassigned</v>
      </c>
    </row>
    <row r="9" spans="1:14" ht="18" customHeight="1" x14ac:dyDescent="0.3">
      <c r="A9" s="6">
        <v>1008</v>
      </c>
      <c r="B9" s="2">
        <v>46030</v>
      </c>
      <c r="C9" s="3" t="s">
        <v>15</v>
      </c>
      <c r="D9" s="3">
        <v>70</v>
      </c>
      <c r="E9" s="4">
        <v>14000</v>
      </c>
      <c r="F9" s="3" t="s">
        <v>7</v>
      </c>
      <c r="G9" t="str">
        <f t="shared" si="0"/>
        <v>Thursday</v>
      </c>
      <c r="L9" s="9" t="s">
        <v>6</v>
      </c>
      <c r="M9" s="10" t="str">
        <f>VLOOKUP(L9,C1:F21,4,0)</f>
        <v>Swiggy</v>
      </c>
    </row>
    <row r="10" spans="1:14" ht="18" customHeight="1" x14ac:dyDescent="0.3">
      <c r="A10" s="6">
        <v>1009</v>
      </c>
      <c r="B10" s="2">
        <v>46031</v>
      </c>
      <c r="C10" s="3" t="s">
        <v>6</v>
      </c>
      <c r="D10" s="3">
        <v>110</v>
      </c>
      <c r="E10" s="4">
        <v>16500</v>
      </c>
      <c r="F10" s="3" t="s">
        <v>19</v>
      </c>
      <c r="G10" t="str">
        <f t="shared" si="0"/>
        <v>Friday</v>
      </c>
    </row>
    <row r="11" spans="1:14" ht="18" customHeight="1" x14ac:dyDescent="0.3">
      <c r="A11" s="6">
        <v>1010</v>
      </c>
      <c r="B11" s="2">
        <v>46032</v>
      </c>
      <c r="C11" s="3" t="s">
        <v>10</v>
      </c>
      <c r="D11" s="3">
        <v>85</v>
      </c>
      <c r="E11" s="4">
        <v>12750</v>
      </c>
      <c r="F11" s="3" t="s">
        <v>11</v>
      </c>
      <c r="G11" t="str">
        <f t="shared" si="0"/>
        <v>Saturday</v>
      </c>
    </row>
    <row r="12" spans="1:14" ht="18" customHeight="1" x14ac:dyDescent="0.3">
      <c r="A12" s="6">
        <v>1011</v>
      </c>
      <c r="B12" s="2">
        <v>46033</v>
      </c>
      <c r="C12" s="3" t="s">
        <v>12</v>
      </c>
      <c r="D12" s="3">
        <v>65</v>
      </c>
      <c r="E12" s="4">
        <v>9750</v>
      </c>
      <c r="F12" s="3" t="s">
        <v>19</v>
      </c>
      <c r="G12" t="str">
        <f t="shared" si="0"/>
        <v>Sunday</v>
      </c>
      <c r="L12" s="8" t="s">
        <v>21</v>
      </c>
      <c r="M12" s="8"/>
      <c r="N12" s="8"/>
    </row>
    <row r="13" spans="1:14" ht="18" customHeight="1" x14ac:dyDescent="0.3">
      <c r="A13" s="6">
        <v>1012</v>
      </c>
      <c r="B13" s="2">
        <v>46034</v>
      </c>
      <c r="C13" s="3" t="s">
        <v>13</v>
      </c>
      <c r="D13" s="3">
        <v>40</v>
      </c>
      <c r="E13" s="4">
        <v>8000</v>
      </c>
      <c r="F13" s="3" t="s">
        <v>7</v>
      </c>
      <c r="G13" t="str">
        <f t="shared" si="0"/>
        <v>Monday</v>
      </c>
      <c r="L13" s="8"/>
      <c r="M13" s="8"/>
      <c r="N13" s="8"/>
    </row>
    <row r="14" spans="1:14" ht="18" customHeight="1" x14ac:dyDescent="0.3">
      <c r="A14" s="6">
        <v>1013</v>
      </c>
      <c r="B14" s="2">
        <v>46035</v>
      </c>
      <c r="C14" s="3" t="s">
        <v>9</v>
      </c>
      <c r="D14" s="3">
        <v>100</v>
      </c>
      <c r="E14" s="4">
        <v>15000</v>
      </c>
      <c r="F14" s="3" t="s">
        <v>19</v>
      </c>
      <c r="G14" t="str">
        <f t="shared" si="0"/>
        <v>Tuesday</v>
      </c>
      <c r="L14" s="9" t="s">
        <v>14</v>
      </c>
      <c r="M14" s="10" t="str">
        <f>_xlfn.XLOOKUP(L14,C1:C21,F1:F21,"not prsent",0,-1)</f>
        <v>Zomato</v>
      </c>
      <c r="N14" s="10">
        <f>_xlfn.XLOOKUP(L14,C1:C21,A1:A21,"no",0,-1)</f>
        <v>1014</v>
      </c>
    </row>
    <row r="15" spans="1:14" ht="18" customHeight="1" x14ac:dyDescent="0.3">
      <c r="A15" s="6">
        <v>1014</v>
      </c>
      <c r="B15" s="2">
        <v>46036</v>
      </c>
      <c r="C15" s="3" t="s">
        <v>14</v>
      </c>
      <c r="D15" s="3">
        <v>55</v>
      </c>
      <c r="E15" s="4">
        <v>8250</v>
      </c>
      <c r="F15" s="3" t="s">
        <v>11</v>
      </c>
      <c r="G15" t="str">
        <f t="shared" si="0"/>
        <v>Wednesday</v>
      </c>
      <c r="L15" s="9" t="s">
        <v>13</v>
      </c>
      <c r="M15" s="10" t="str">
        <f>_xlfn.XLOOKUP(L15,C1:C21,F1:F21,0)</f>
        <v>Swiggy</v>
      </c>
      <c r="N15" s="11">
        <f>_xlfn.XLOOKUP(L15,C1:C21,B1:B21,"no",0)</f>
        <v>46027</v>
      </c>
    </row>
    <row r="16" spans="1:14" ht="18" customHeight="1" x14ac:dyDescent="0.3">
      <c r="A16" s="6">
        <v>1015</v>
      </c>
      <c r="B16" s="2">
        <v>46037</v>
      </c>
      <c r="C16" s="3" t="s">
        <v>15</v>
      </c>
      <c r="D16" s="3">
        <v>75</v>
      </c>
      <c r="E16" s="4">
        <v>15000</v>
      </c>
      <c r="F16" s="3" t="s">
        <v>19</v>
      </c>
      <c r="G16" t="str">
        <f t="shared" si="0"/>
        <v>Thursday</v>
      </c>
      <c r="L16" s="9" t="s">
        <v>6</v>
      </c>
      <c r="M16" s="10" t="str">
        <f>_xlfn.XLOOKUP(L16,C1:C21,F1:F21,"no",0)</f>
        <v>Swiggy</v>
      </c>
      <c r="N16" s="10">
        <f>_xlfn.XLOOKUP(L16,C1:C21,A1:A21,"no",0)</f>
        <v>1001</v>
      </c>
    </row>
    <row r="17" spans="1:7" ht="18" customHeight="1" x14ac:dyDescent="0.3">
      <c r="A17" s="6">
        <v>1016</v>
      </c>
      <c r="B17" s="2">
        <v>46038</v>
      </c>
      <c r="C17" s="3" t="s">
        <v>6</v>
      </c>
      <c r="D17" s="3">
        <v>140</v>
      </c>
      <c r="E17" s="4">
        <v>21000</v>
      </c>
      <c r="F17" s="3" t="s">
        <v>7</v>
      </c>
      <c r="G17" t="str">
        <f t="shared" si="0"/>
        <v>Friday</v>
      </c>
    </row>
    <row r="18" spans="1:7" ht="18" customHeight="1" x14ac:dyDescent="0.3">
      <c r="A18" s="6">
        <v>1017</v>
      </c>
      <c r="B18" s="2">
        <v>46039</v>
      </c>
      <c r="C18" s="3" t="s">
        <v>10</v>
      </c>
      <c r="D18" s="3">
        <v>90</v>
      </c>
      <c r="E18" s="4">
        <v>13500</v>
      </c>
      <c r="F18" s="3" t="s">
        <v>19</v>
      </c>
      <c r="G18" t="str">
        <f t="shared" si="0"/>
        <v>Saturday</v>
      </c>
    </row>
    <row r="19" spans="1:7" ht="18" customHeight="1" x14ac:dyDescent="0.3">
      <c r="A19" s="6">
        <v>1018</v>
      </c>
      <c r="B19" s="2">
        <v>46040</v>
      </c>
      <c r="C19" s="3" t="s">
        <v>12</v>
      </c>
      <c r="D19" s="3">
        <v>70</v>
      </c>
      <c r="E19" s="4">
        <v>10500</v>
      </c>
      <c r="F19" s="3" t="s">
        <v>11</v>
      </c>
      <c r="G19" t="str">
        <f t="shared" si="0"/>
        <v>Sunday</v>
      </c>
    </row>
    <row r="20" spans="1:7" ht="18" customHeight="1" x14ac:dyDescent="0.3">
      <c r="A20" s="6">
        <v>1019</v>
      </c>
      <c r="B20" s="2">
        <v>46041</v>
      </c>
      <c r="C20" s="3" t="s">
        <v>13</v>
      </c>
      <c r="D20" s="3">
        <v>50</v>
      </c>
      <c r="E20" s="4">
        <v>10000</v>
      </c>
      <c r="F20" s="3" t="s">
        <v>19</v>
      </c>
      <c r="G20" t="str">
        <f t="shared" si="0"/>
        <v>Monday</v>
      </c>
    </row>
    <row r="21" spans="1:7" ht="18" customHeight="1" x14ac:dyDescent="0.3">
      <c r="A21" s="6">
        <v>1020</v>
      </c>
      <c r="B21" s="2">
        <v>46042</v>
      </c>
      <c r="C21" s="3" t="s">
        <v>9</v>
      </c>
      <c r="D21" s="3">
        <v>105</v>
      </c>
      <c r="E21" s="4">
        <v>15750</v>
      </c>
      <c r="F21" s="3" t="s">
        <v>7</v>
      </c>
      <c r="G21" t="str">
        <f t="shared" si="0"/>
        <v>Tuesday</v>
      </c>
    </row>
    <row r="22" spans="1:7" ht="18" customHeight="1" x14ac:dyDescent="0.3"/>
    <row r="31" spans="1:7" x14ac:dyDescent="0.3">
      <c r="A31" s="1"/>
      <c r="B31" s="1"/>
      <c r="C31" s="1"/>
      <c r="D31" s="1"/>
      <c r="E31" s="1"/>
    </row>
    <row r="32" spans="1:7" x14ac:dyDescent="0.3">
      <c r="A32" s="12"/>
      <c r="B32" s="3"/>
      <c r="C32" s="3"/>
      <c r="D32" s="3"/>
      <c r="E32" s="3"/>
    </row>
    <row r="33" spans="1:5" x14ac:dyDescent="0.3">
      <c r="A33" s="12"/>
      <c r="B33" s="3"/>
      <c r="C33" s="3"/>
      <c r="D33" s="3"/>
      <c r="E33" s="3"/>
    </row>
    <row r="34" spans="1:5" x14ac:dyDescent="0.3">
      <c r="A34" s="12"/>
      <c r="B34" s="3"/>
      <c r="C34" s="3"/>
      <c r="D34" s="3"/>
      <c r="E34" s="3"/>
    </row>
    <row r="35" spans="1:5" x14ac:dyDescent="0.3">
      <c r="A35" s="12"/>
      <c r="B35" s="3"/>
      <c r="C35" s="3"/>
      <c r="D35" s="3"/>
      <c r="E35" s="3"/>
    </row>
    <row r="36" spans="1:5" x14ac:dyDescent="0.3">
      <c r="A36" s="12"/>
      <c r="B36" s="3"/>
      <c r="C36" s="3"/>
      <c r="D36" s="3"/>
      <c r="E36" s="3"/>
    </row>
    <row r="37" spans="1:5" x14ac:dyDescent="0.3">
      <c r="A37" s="12"/>
      <c r="B37" s="3"/>
      <c r="C37" s="3"/>
      <c r="D37" s="3"/>
      <c r="E37" s="3"/>
    </row>
    <row r="38" spans="1:5" x14ac:dyDescent="0.3">
      <c r="A38" s="12"/>
      <c r="B38" s="3"/>
      <c r="C38" s="3"/>
      <c r="D38" s="3"/>
      <c r="E38" s="3"/>
    </row>
    <row r="39" spans="1:5" x14ac:dyDescent="0.3">
      <c r="A39" s="12"/>
      <c r="B39" s="3"/>
      <c r="C39" s="3"/>
      <c r="D39" s="3"/>
      <c r="E39" s="3"/>
    </row>
    <row r="40" spans="1:5" x14ac:dyDescent="0.3">
      <c r="A40" s="12"/>
      <c r="B40" s="3"/>
      <c r="C40" s="3"/>
      <c r="D40" s="3"/>
      <c r="E40" s="3"/>
    </row>
    <row r="41" spans="1:5" x14ac:dyDescent="0.3">
      <c r="A41" s="12"/>
      <c r="B41" s="3"/>
      <c r="C41" s="3"/>
      <c r="D41" s="3"/>
      <c r="E41" s="3"/>
    </row>
    <row r="42" spans="1:5" x14ac:dyDescent="0.3">
      <c r="A42" s="12"/>
      <c r="B42" s="3"/>
      <c r="C42" s="3"/>
      <c r="D42" s="3"/>
      <c r="E42" s="3"/>
    </row>
    <row r="43" spans="1:5" x14ac:dyDescent="0.3">
      <c r="A43" s="12"/>
      <c r="B43" s="3"/>
      <c r="C43" s="3"/>
      <c r="D43" s="3"/>
      <c r="E43" s="3"/>
    </row>
    <row r="44" spans="1:5" x14ac:dyDescent="0.3">
      <c r="A44" s="12"/>
      <c r="B44" s="3"/>
      <c r="C44" s="3"/>
      <c r="D44" s="3"/>
      <c r="E44" s="3"/>
    </row>
    <row r="45" spans="1:5" x14ac:dyDescent="0.3">
      <c r="A45" s="12"/>
      <c r="B45" s="3"/>
      <c r="C45" s="3"/>
      <c r="D45" s="3"/>
      <c r="E45" s="3"/>
    </row>
    <row r="46" spans="1:5" x14ac:dyDescent="0.3">
      <c r="A46" s="12"/>
      <c r="B46" s="3"/>
      <c r="C46" s="3"/>
      <c r="D46" s="3"/>
      <c r="E46" s="3"/>
    </row>
    <row r="47" spans="1:5" x14ac:dyDescent="0.3">
      <c r="A47" s="12"/>
      <c r="B47" s="3"/>
      <c r="C47" s="3"/>
      <c r="D47" s="3"/>
      <c r="E47" s="3"/>
    </row>
    <row r="48" spans="1:5" x14ac:dyDescent="0.3">
      <c r="A48" s="12"/>
      <c r="B48" s="3"/>
      <c r="C48" s="3"/>
      <c r="D48" s="3"/>
      <c r="E48" s="3"/>
    </row>
    <row r="49" spans="1:5" x14ac:dyDescent="0.3">
      <c r="A49" s="12"/>
      <c r="B49" s="3"/>
      <c r="C49" s="3"/>
      <c r="D49" s="3"/>
      <c r="E49" s="3"/>
    </row>
    <row r="50" spans="1:5" x14ac:dyDescent="0.3">
      <c r="A50" s="12"/>
      <c r="B50" s="3"/>
      <c r="C50" s="3"/>
      <c r="D50" s="3"/>
      <c r="E50" s="3"/>
    </row>
    <row r="51" spans="1:5" x14ac:dyDescent="0.3">
      <c r="A51" s="12"/>
      <c r="B51" s="3"/>
      <c r="C51" s="3"/>
      <c r="D51" s="3"/>
      <c r="E51" s="3"/>
    </row>
  </sheetData>
  <mergeCells count="2">
    <mergeCell ref="L5:M6"/>
    <mergeCell ref="L12:N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9C1C9-F77B-4911-9999-2F9AD1AE7A43}">
  <dimension ref="A1:J24"/>
  <sheetViews>
    <sheetView workbookViewId="0">
      <selection activeCell="C26" sqref="C26"/>
    </sheetView>
  </sheetViews>
  <sheetFormatPr defaultRowHeight="14.4" x14ac:dyDescent="0.3"/>
  <cols>
    <col min="1" max="1" width="12" customWidth="1"/>
    <col min="2" max="2" width="11.77734375" customWidth="1"/>
    <col min="3" max="3" width="19.21875" customWidth="1"/>
    <col min="9" max="9" width="12.44140625" bestFit="1" customWidth="1"/>
    <col min="10" max="10" width="25.6640625" bestFit="1" customWidth="1"/>
  </cols>
  <sheetData>
    <row r="1" spans="1:10" ht="43.2" x14ac:dyDescent="0.3">
      <c r="A1" s="1" t="s">
        <v>40</v>
      </c>
      <c r="B1" s="1" t="s">
        <v>41</v>
      </c>
      <c r="C1" s="1" t="s">
        <v>42</v>
      </c>
    </row>
    <row r="2" spans="1:10" x14ac:dyDescent="0.3">
      <c r="A2" s="12" t="s">
        <v>22</v>
      </c>
      <c r="B2" s="3">
        <v>120</v>
      </c>
      <c r="C2" s="14">
        <v>2400</v>
      </c>
    </row>
    <row r="3" spans="1:10" x14ac:dyDescent="0.3">
      <c r="A3" s="12" t="s">
        <v>43</v>
      </c>
      <c r="B3" s="3">
        <v>95</v>
      </c>
      <c r="C3" s="14">
        <v>1900</v>
      </c>
      <c r="I3" s="17" t="s">
        <v>48</v>
      </c>
      <c r="J3" t="s">
        <v>47</v>
      </c>
    </row>
    <row r="4" spans="1:10" x14ac:dyDescent="0.3">
      <c r="A4" s="12" t="s">
        <v>23</v>
      </c>
      <c r="B4" s="3">
        <v>80</v>
      </c>
      <c r="C4" s="14">
        <v>1600</v>
      </c>
      <c r="I4" s="18" t="s">
        <v>22</v>
      </c>
      <c r="J4" s="13">
        <v>2400</v>
      </c>
    </row>
    <row r="5" spans="1:10" x14ac:dyDescent="0.3">
      <c r="A5" s="12" t="s">
        <v>24</v>
      </c>
      <c r="B5" s="3">
        <v>60</v>
      </c>
      <c r="C5" s="14">
        <v>1200</v>
      </c>
      <c r="I5" s="18" t="s">
        <v>43</v>
      </c>
      <c r="J5" s="13">
        <v>1900</v>
      </c>
    </row>
    <row r="6" spans="1:10" x14ac:dyDescent="0.3">
      <c r="A6" s="12" t="s">
        <v>25</v>
      </c>
      <c r="B6" s="3">
        <v>45</v>
      </c>
      <c r="C6" s="14">
        <v>900</v>
      </c>
      <c r="I6" s="18" t="s">
        <v>23</v>
      </c>
      <c r="J6" s="13">
        <v>1600</v>
      </c>
    </row>
    <row r="7" spans="1:10" x14ac:dyDescent="0.3">
      <c r="A7" s="12" t="s">
        <v>26</v>
      </c>
      <c r="B7" s="3">
        <v>130</v>
      </c>
      <c r="C7" s="14">
        <v>2600</v>
      </c>
      <c r="I7" s="18" t="s">
        <v>24</v>
      </c>
      <c r="J7" s="13">
        <v>1200</v>
      </c>
    </row>
    <row r="8" spans="1:10" x14ac:dyDescent="0.3">
      <c r="A8" s="12" t="s">
        <v>27</v>
      </c>
      <c r="B8" s="3">
        <v>50</v>
      </c>
      <c r="C8" s="14">
        <v>1000</v>
      </c>
      <c r="I8" s="18" t="s">
        <v>25</v>
      </c>
      <c r="J8" s="13">
        <v>900</v>
      </c>
    </row>
    <row r="9" spans="1:10" x14ac:dyDescent="0.3">
      <c r="A9" s="12" t="s">
        <v>28</v>
      </c>
      <c r="B9" s="3">
        <v>70</v>
      </c>
      <c r="C9" s="14">
        <v>1400</v>
      </c>
      <c r="I9" s="18" t="s">
        <v>26</v>
      </c>
      <c r="J9" s="13">
        <v>2600</v>
      </c>
    </row>
    <row r="10" spans="1:10" x14ac:dyDescent="0.3">
      <c r="A10" s="12" t="s">
        <v>29</v>
      </c>
      <c r="B10" s="3">
        <v>110</v>
      </c>
      <c r="C10" s="14">
        <v>2200</v>
      </c>
      <c r="I10" s="18" t="s">
        <v>27</v>
      </c>
      <c r="J10" s="13">
        <v>1000</v>
      </c>
    </row>
    <row r="11" spans="1:10" x14ac:dyDescent="0.3">
      <c r="A11" s="12" t="s">
        <v>30</v>
      </c>
      <c r="B11" s="3">
        <v>85</v>
      </c>
      <c r="C11" s="14">
        <v>1700</v>
      </c>
      <c r="I11" s="18" t="s">
        <v>28</v>
      </c>
      <c r="J11" s="13">
        <v>1400</v>
      </c>
    </row>
    <row r="12" spans="1:10" x14ac:dyDescent="0.3">
      <c r="A12" s="12" t="s">
        <v>31</v>
      </c>
      <c r="B12" s="3">
        <v>65</v>
      </c>
      <c r="C12" s="14">
        <v>1300</v>
      </c>
      <c r="I12" s="18" t="s">
        <v>29</v>
      </c>
      <c r="J12" s="13">
        <v>2200</v>
      </c>
    </row>
    <row r="13" spans="1:10" x14ac:dyDescent="0.3">
      <c r="A13" s="12" t="s">
        <v>44</v>
      </c>
      <c r="B13" s="3">
        <v>40</v>
      </c>
      <c r="C13" s="14">
        <v>800</v>
      </c>
      <c r="I13" s="18" t="s">
        <v>30</v>
      </c>
      <c r="J13" s="13">
        <v>1700</v>
      </c>
    </row>
    <row r="14" spans="1:10" x14ac:dyDescent="0.3">
      <c r="A14" s="12" t="s">
        <v>32</v>
      </c>
      <c r="B14" s="3">
        <v>100</v>
      </c>
      <c r="C14" s="14">
        <v>2000</v>
      </c>
      <c r="I14" s="18" t="s">
        <v>31</v>
      </c>
      <c r="J14" s="13">
        <v>1300</v>
      </c>
    </row>
    <row r="15" spans="1:10" x14ac:dyDescent="0.3">
      <c r="A15" s="12" t="s">
        <v>33</v>
      </c>
      <c r="B15" s="3">
        <v>55</v>
      </c>
      <c r="C15" s="14">
        <v>1100</v>
      </c>
      <c r="I15" s="18" t="s">
        <v>44</v>
      </c>
      <c r="J15" s="13">
        <v>800</v>
      </c>
    </row>
    <row r="16" spans="1:10" x14ac:dyDescent="0.3">
      <c r="A16" s="12" t="s">
        <v>34</v>
      </c>
      <c r="B16" s="3">
        <v>75</v>
      </c>
      <c r="C16" s="14">
        <v>1500</v>
      </c>
      <c r="I16" s="18" t="s">
        <v>32</v>
      </c>
      <c r="J16" s="13">
        <v>2000</v>
      </c>
    </row>
    <row r="17" spans="1:10" x14ac:dyDescent="0.3">
      <c r="A17" s="12" t="s">
        <v>35</v>
      </c>
      <c r="B17" s="3">
        <v>140</v>
      </c>
      <c r="C17" s="14">
        <v>2800</v>
      </c>
      <c r="I17" s="18" t="s">
        <v>33</v>
      </c>
      <c r="J17" s="13">
        <v>1100</v>
      </c>
    </row>
    <row r="18" spans="1:10" x14ac:dyDescent="0.3">
      <c r="A18" s="12" t="s">
        <v>36</v>
      </c>
      <c r="B18" s="3">
        <v>90</v>
      </c>
      <c r="C18" s="14">
        <v>1800</v>
      </c>
      <c r="I18" s="18" t="s">
        <v>34</v>
      </c>
      <c r="J18" s="13">
        <v>1500</v>
      </c>
    </row>
    <row r="19" spans="1:10" x14ac:dyDescent="0.3">
      <c r="A19" s="12" t="s">
        <v>45</v>
      </c>
      <c r="B19" s="3">
        <v>70</v>
      </c>
      <c r="C19" s="14">
        <v>1400</v>
      </c>
      <c r="I19" s="18" t="s">
        <v>35</v>
      </c>
      <c r="J19" s="13">
        <v>2800</v>
      </c>
    </row>
    <row r="20" spans="1:10" x14ac:dyDescent="0.3">
      <c r="A20" s="12" t="s">
        <v>37</v>
      </c>
      <c r="B20" s="3">
        <v>50</v>
      </c>
      <c r="C20" s="14">
        <v>1000</v>
      </c>
      <c r="I20" s="18" t="s">
        <v>36</v>
      </c>
      <c r="J20" s="13">
        <v>1800</v>
      </c>
    </row>
    <row r="21" spans="1:10" x14ac:dyDescent="0.3">
      <c r="A21" s="12" t="s">
        <v>38</v>
      </c>
      <c r="B21" s="3">
        <v>105</v>
      </c>
      <c r="C21" s="14">
        <v>2100</v>
      </c>
      <c r="I21" s="18" t="s">
        <v>45</v>
      </c>
      <c r="J21" s="13">
        <v>1400</v>
      </c>
    </row>
    <row r="22" spans="1:10" x14ac:dyDescent="0.3">
      <c r="A22" s="1"/>
      <c r="B22" s="15"/>
      <c r="C22" s="16"/>
      <c r="I22" s="18" t="s">
        <v>37</v>
      </c>
      <c r="J22" s="13">
        <v>1000</v>
      </c>
    </row>
    <row r="23" spans="1:10" x14ac:dyDescent="0.3">
      <c r="I23" s="18" t="s">
        <v>38</v>
      </c>
      <c r="J23" s="13">
        <v>2100</v>
      </c>
    </row>
    <row r="24" spans="1:10" x14ac:dyDescent="0.3">
      <c r="I24" s="18" t="s">
        <v>46</v>
      </c>
      <c r="J24" s="13">
        <v>32700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E72D8-A906-4ED8-B96A-9A925ED87EC8}">
  <dimension ref="B4:S35"/>
  <sheetViews>
    <sheetView topLeftCell="C1" workbookViewId="0">
      <selection activeCell="W12" sqref="W12"/>
    </sheetView>
  </sheetViews>
  <sheetFormatPr defaultRowHeight="14.4" x14ac:dyDescent="0.3"/>
  <cols>
    <col min="2" max="2" width="12.44140625" bestFit="1" customWidth="1"/>
    <col min="3" max="3" width="12.6640625" bestFit="1" customWidth="1"/>
    <col min="19" max="19" width="8.88671875" customWidth="1"/>
  </cols>
  <sheetData>
    <row r="4" spans="2:19" x14ac:dyDescent="0.3">
      <c r="B4" s="7" t="s">
        <v>49</v>
      </c>
      <c r="C4" s="7"/>
    </row>
    <row r="5" spans="2:19" x14ac:dyDescent="0.3">
      <c r="B5" s="7"/>
      <c r="C5" s="7"/>
      <c r="S5" t="s">
        <v>54</v>
      </c>
    </row>
    <row r="6" spans="2:19" x14ac:dyDescent="0.3">
      <c r="B6" s="17" t="s">
        <v>48</v>
      </c>
      <c r="C6" t="s">
        <v>50</v>
      </c>
      <c r="S6" s="23">
        <v>695</v>
      </c>
    </row>
    <row r="7" spans="2:19" x14ac:dyDescent="0.3">
      <c r="B7" s="18" t="s">
        <v>15</v>
      </c>
      <c r="C7" s="21">
        <v>70</v>
      </c>
      <c r="S7">
        <v>695</v>
      </c>
    </row>
    <row r="8" spans="2:19" x14ac:dyDescent="0.3">
      <c r="B8" s="18" t="s">
        <v>9</v>
      </c>
      <c r="C8" s="21">
        <v>105</v>
      </c>
    </row>
    <row r="9" spans="2:19" x14ac:dyDescent="0.3">
      <c r="B9" s="18" t="s">
        <v>6</v>
      </c>
      <c r="C9" s="21">
        <v>260</v>
      </c>
    </row>
    <row r="10" spans="2:19" x14ac:dyDescent="0.3">
      <c r="B10" s="18" t="s">
        <v>13</v>
      </c>
      <c r="C10" s="21">
        <v>85</v>
      </c>
    </row>
    <row r="11" spans="2:19" x14ac:dyDescent="0.3">
      <c r="B11" s="18" t="s">
        <v>46</v>
      </c>
      <c r="C11" s="21">
        <v>520</v>
      </c>
    </row>
    <row r="19" spans="2:3" x14ac:dyDescent="0.3">
      <c r="B19" s="8" t="s">
        <v>51</v>
      </c>
      <c r="C19" s="8"/>
    </row>
    <row r="20" spans="2:3" x14ac:dyDescent="0.3">
      <c r="B20" s="8"/>
      <c r="C20" s="8"/>
    </row>
    <row r="21" spans="2:3" x14ac:dyDescent="0.3">
      <c r="B21" s="10" t="s">
        <v>52</v>
      </c>
      <c r="C21" s="10"/>
    </row>
    <row r="22" spans="2:3" x14ac:dyDescent="0.3">
      <c r="B22" s="22">
        <v>1635</v>
      </c>
      <c r="C22" s="10"/>
    </row>
    <row r="23" spans="2:3" x14ac:dyDescent="0.3">
      <c r="B23">
        <f>GETPIVOTDATA("Total Delivery Charges",$B$21)</f>
        <v>1635</v>
      </c>
    </row>
    <row r="28" spans="2:3" x14ac:dyDescent="0.3">
      <c r="B28" s="8" t="s">
        <v>53</v>
      </c>
      <c r="C28" s="8"/>
    </row>
    <row r="29" spans="2:3" x14ac:dyDescent="0.3">
      <c r="B29" s="8"/>
      <c r="C29" s="8"/>
    </row>
    <row r="30" spans="2:3" x14ac:dyDescent="0.3">
      <c r="B30" s="17" t="s">
        <v>48</v>
      </c>
      <c r="C30" t="s">
        <v>50</v>
      </c>
    </row>
    <row r="31" spans="2:3" x14ac:dyDescent="0.3">
      <c r="B31" s="18" t="s">
        <v>15</v>
      </c>
      <c r="C31" s="21">
        <v>70</v>
      </c>
    </row>
    <row r="32" spans="2:3" x14ac:dyDescent="0.3">
      <c r="B32" s="18" t="s">
        <v>9</v>
      </c>
      <c r="C32" s="21">
        <v>105</v>
      </c>
    </row>
    <row r="33" spans="2:3" x14ac:dyDescent="0.3">
      <c r="B33" s="18" t="s">
        <v>6</v>
      </c>
      <c r="C33" s="21">
        <v>260</v>
      </c>
    </row>
    <row r="34" spans="2:3" x14ac:dyDescent="0.3">
      <c r="B34" s="18" t="s">
        <v>13</v>
      </c>
      <c r="C34" s="21">
        <v>85</v>
      </c>
    </row>
    <row r="35" spans="2:3" x14ac:dyDescent="0.3">
      <c r="B35" s="18" t="s">
        <v>46</v>
      </c>
      <c r="C35" s="21">
        <v>520</v>
      </c>
    </row>
  </sheetData>
  <mergeCells count="3">
    <mergeCell ref="B4:C5"/>
    <mergeCell ref="B19:C20"/>
    <mergeCell ref="B28:C29"/>
  </mergeCells>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96DD0-B9FA-45C0-9E9F-16F1AAC26DF3}">
  <dimension ref="A1:D1"/>
  <sheetViews>
    <sheetView tabSelected="1" workbookViewId="0">
      <selection activeCell="G25" sqref="G25"/>
    </sheetView>
  </sheetViews>
  <sheetFormatPr defaultRowHeight="14.4" x14ac:dyDescent="0.3"/>
  <cols>
    <col min="1" max="4" width="8.88671875" style="19"/>
    <col min="5" max="16384" width="8.88671875" style="2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Sheet2</vt:lpstr>
      <vt:lpstr>Sheet3</vt:lpstr>
      <vt:lpstr>Sheet4</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Surya Rajpurohit</dc:creator>
  <cp:lastModifiedBy>Surya Rajpurohit</cp:lastModifiedBy>
  <dcterms:created xsi:type="dcterms:W3CDTF">2026-09-02T11:52:12Z</dcterms:created>
  <dcterms:modified xsi:type="dcterms:W3CDTF">2026-09-03T07:33:24Z</dcterms:modified>
</cp:coreProperties>
</file>