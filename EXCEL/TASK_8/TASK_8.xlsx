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EXCEL\ALL_TASKS\TASK_8\"/>
    </mc:Choice>
  </mc:AlternateContent>
  <xr:revisionPtr revIDLastSave="0" documentId="13_ncr:1_{F3FD15F1-3AC9-4984-B082-E394D4E19477}" xr6:coauthVersionLast="47" xr6:coauthVersionMax="47" xr10:uidLastSave="{00000000-0000-0000-0000-000000000000}"/>
  <bookViews>
    <workbookView xWindow="-108" yWindow="-108" windowWidth="23256" windowHeight="12456" xr2:uid="{A8A38499-7A59-45CA-8554-2E26DCBCF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1" l="1"/>
  <c r="N26" i="1"/>
  <c r="N27" i="1"/>
  <c r="N28" i="1"/>
  <c r="N29" i="1"/>
  <c r="N30" i="1"/>
  <c r="N31" i="1"/>
  <c r="N32" i="1"/>
  <c r="N33" i="1"/>
  <c r="N24" i="1"/>
  <c r="F25" i="1"/>
  <c r="F26" i="1"/>
  <c r="F27" i="1"/>
  <c r="F28" i="1"/>
  <c r="F29" i="1"/>
  <c r="F30" i="1"/>
  <c r="F31" i="1"/>
  <c r="F32" i="1"/>
  <c r="F33" i="1"/>
  <c r="F24" i="1"/>
  <c r="O5" i="1"/>
  <c r="O6" i="1"/>
  <c r="O7" i="1"/>
  <c r="O8" i="1"/>
  <c r="O9" i="1"/>
  <c r="O10" i="1"/>
  <c r="O11" i="1"/>
  <c r="O12" i="1"/>
  <c r="O13" i="1"/>
  <c r="O4" i="1"/>
  <c r="I5" i="1"/>
  <c r="I6" i="1"/>
  <c r="I7" i="1"/>
  <c r="I8" i="1"/>
  <c r="I9" i="1"/>
  <c r="I10" i="1"/>
  <c r="I11" i="1"/>
  <c r="I12" i="1"/>
  <c r="I13" i="1"/>
  <c r="I4" i="1"/>
  <c r="D5" i="1"/>
  <c r="D6" i="1"/>
  <c r="D7" i="1"/>
  <c r="D8" i="1"/>
  <c r="D9" i="1"/>
  <c r="D10" i="1"/>
  <c r="D11" i="1"/>
  <c r="D12" i="1"/>
  <c r="D13" i="1"/>
  <c r="D4" i="1"/>
</calcChain>
</file>

<file path=xl/sharedStrings.xml><?xml version="1.0" encoding="utf-8"?>
<sst xmlns="http://schemas.openxmlformats.org/spreadsheetml/2006/main" count="133" uniqueCount="79">
  <si>
    <t>Cappuccino with Cinnamon</t>
  </si>
  <si>
    <t>Grilled Veggie Panini</t>
  </si>
  <si>
    <t>Blueberry Muffin</t>
  </si>
  <si>
    <t>Classic Caesar Salad</t>
  </si>
  <si>
    <t>Iced Caramel Latte</t>
  </si>
  <si>
    <t>Cheese &amp; Tomato Sandwich</t>
  </si>
  <si>
    <t>Chocolate Brownie Sundae</t>
  </si>
  <si>
    <t>Avocado Toast</t>
  </si>
  <si>
    <t>Lemon Iced Tea</t>
  </si>
  <si>
    <t>Spaghetti Aglio e Olio</t>
  </si>
  <si>
    <t>FOOD NAME</t>
  </si>
  <si>
    <t>PRICE</t>
  </si>
  <si>
    <t>IF</t>
  </si>
  <si>
    <t>1. FOOD ITEM  IF CONDITION</t>
  </si>
  <si>
    <t>CRICKET</t>
  </si>
  <si>
    <t>RUNS</t>
  </si>
  <si>
    <r>
      <t>Sachin Tendulkar</t>
    </r>
    <r>
      <rPr>
        <sz val="11"/>
        <color theme="1"/>
        <rFont val="Aptos Narrow"/>
        <family val="2"/>
        <scheme val="minor"/>
      </rPr>
      <t xml:space="preserve"> (India)</t>
    </r>
  </si>
  <si>
    <r>
      <t>Ben Stokes</t>
    </r>
    <r>
      <rPr>
        <sz val="11"/>
        <color theme="1"/>
        <rFont val="Aptos Narrow"/>
        <family val="2"/>
        <scheme val="minor"/>
      </rPr>
      <t xml:space="preserve"> (England)</t>
    </r>
  </si>
  <si>
    <r>
      <t>Virat Kohli</t>
    </r>
    <r>
      <rPr>
        <sz val="11"/>
        <color theme="1"/>
        <rFont val="Aptos Narrow"/>
        <family val="2"/>
        <scheme val="minor"/>
      </rPr>
      <t xml:space="preserve"> (India)</t>
    </r>
  </si>
  <si>
    <r>
      <t>MS Dhoni</t>
    </r>
    <r>
      <rPr>
        <sz val="11"/>
        <color theme="1"/>
        <rFont val="Aptos Narrow"/>
        <family val="2"/>
        <scheme val="minor"/>
      </rPr>
      <t xml:space="preserve"> (India)</t>
    </r>
  </si>
  <si>
    <r>
      <t>AB de Villiers</t>
    </r>
    <r>
      <rPr>
        <sz val="11"/>
        <color theme="1"/>
        <rFont val="Aptos Narrow"/>
        <family val="2"/>
        <scheme val="minor"/>
      </rPr>
      <t xml:space="preserve"> (South Africa)</t>
    </r>
  </si>
  <si>
    <r>
      <t>Babar Azam</t>
    </r>
    <r>
      <rPr>
        <sz val="11"/>
        <color theme="1"/>
        <rFont val="Aptos Narrow"/>
        <family val="2"/>
        <scheme val="minor"/>
      </rPr>
      <t xml:space="preserve"> (Pakistan)</t>
    </r>
  </si>
  <si>
    <r>
      <t>Steve Smith</t>
    </r>
    <r>
      <rPr>
        <sz val="11"/>
        <color theme="1"/>
        <rFont val="Aptos Narrow"/>
        <family val="2"/>
        <scheme val="minor"/>
      </rPr>
      <t xml:space="preserve"> (Australia)</t>
    </r>
  </si>
  <si>
    <r>
      <t xml:space="preserve"> Chris Gayle</t>
    </r>
    <r>
      <rPr>
        <sz val="11"/>
        <color theme="1"/>
        <rFont val="Aptos Narrow"/>
        <family val="2"/>
        <scheme val="minor"/>
      </rPr>
      <t xml:space="preserve"> (West Indies)</t>
    </r>
  </si>
  <si>
    <r>
      <t>Kane Williamson</t>
    </r>
    <r>
      <rPr>
        <sz val="11"/>
        <color theme="1"/>
        <rFont val="Aptos Narrow"/>
        <family val="2"/>
        <scheme val="minor"/>
      </rPr>
      <t xml:space="preserve"> (New Zealand)</t>
    </r>
  </si>
  <si>
    <r>
      <t>Joe Root</t>
    </r>
    <r>
      <rPr>
        <sz val="11"/>
        <color theme="1"/>
        <rFont val="Aptos Narrow"/>
        <family val="2"/>
        <scheme val="minor"/>
      </rPr>
      <t xml:space="preserve"> (England)</t>
    </r>
  </si>
  <si>
    <t>2. CRICKRT NESTED IF</t>
  </si>
  <si>
    <t>Prepaid</t>
  </si>
  <si>
    <t>post-paid</t>
  </si>
  <si>
    <t>prepaid</t>
  </si>
  <si>
    <t>post- paid</t>
  </si>
  <si>
    <t>delivered</t>
  </si>
  <si>
    <t>Not Delivered</t>
  </si>
  <si>
    <t xml:space="preserve"> Delivered</t>
  </si>
  <si>
    <t>Delivered</t>
  </si>
  <si>
    <t>Not delivered</t>
  </si>
  <si>
    <t>NAME</t>
  </si>
  <si>
    <t>DELIVERY</t>
  </si>
  <si>
    <t>PRE/POSTPAID</t>
  </si>
  <si>
    <t>IF OR AND</t>
  </si>
  <si>
    <t xml:space="preserve">3. IF AND </t>
  </si>
  <si>
    <t>Prem Ki Leela</t>
  </si>
  <si>
    <t>Krishna Govinda</t>
  </si>
  <si>
    <t>Anth Mein Aarambh</t>
  </si>
  <si>
    <t>Shubh Din Aayo</t>
  </si>
  <si>
    <t>Mann Ki Dasha</t>
  </si>
  <si>
    <t>Mukhda Dikha Jaiyo</t>
  </si>
  <si>
    <t>Shyamal Sanware</t>
  </si>
  <si>
    <t>Kunj Bihari</t>
  </si>
  <si>
    <t>Radhe Krishna Hare</t>
  </si>
  <si>
    <t>Flute Theme</t>
  </si>
  <si>
    <t>Lata Mangeshkar</t>
  </si>
  <si>
    <t>Kishore Kumar</t>
  </si>
  <si>
    <t>Sonu Nigam</t>
  </si>
  <si>
    <t>Shreya Ghoshal</t>
  </si>
  <si>
    <t>Arijit Singh</t>
  </si>
  <si>
    <t>Asha Bhosle</t>
  </si>
  <si>
    <t>Mohit Chauhan</t>
  </si>
  <si>
    <t>Sunidhi Chauhan</t>
  </si>
  <si>
    <t>Udit Narayan</t>
  </si>
  <si>
    <t>Neeti Mohan</t>
  </si>
  <si>
    <t>Downloaded</t>
  </si>
  <si>
    <t>Favourite</t>
  </si>
  <si>
    <t>Not Downloaded</t>
  </si>
  <si>
    <t>Not Favourite</t>
  </si>
  <si>
    <t>SONGS</t>
  </si>
  <si>
    <t>ARITIST</t>
  </si>
  <si>
    <t>DOWNLOADED OR NOT</t>
  </si>
  <si>
    <t>FAVOURITE OR NOT</t>
  </si>
  <si>
    <t>IF OR FOR ACCESS</t>
  </si>
  <si>
    <t>4. SONGS FOR IF OR CONDITION FOR QUICK ACCESS</t>
  </si>
  <si>
    <t>Delivery Adress</t>
  </si>
  <si>
    <t>Payment</t>
  </si>
  <si>
    <t>New</t>
  </si>
  <si>
    <t>Cash</t>
  </si>
  <si>
    <t>Online</t>
  </si>
  <si>
    <t>Old</t>
  </si>
  <si>
    <t>Suspicious</t>
  </si>
  <si>
    <t>5.  IF XOR FOR SUSPICIOUS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</si>
</sst>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2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left" vertical="center" indent="1"/>
    </xf>
    <xf numFmtId="0" fontId="0" fillId="2" borderId="1" xfId="0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05E2F-0EF4-4AC4-B077-F3079EA9036A}">
  <dimension ref="B1:O33"/>
  <sheetViews>
    <sheetView tabSelected="1" zoomScale="47" workbookViewId="0">
      <selection activeCell="I27" sqref="I27"/>
    </sheetView>
  </sheetViews>
  <sheetFormatPr defaultRowHeight="14.4" x14ac:dyDescent="0.3"/>
  <cols>
    <col min="2" max="2" width="24" bestFit="1" customWidth="1"/>
    <col min="3" max="3" width="15" bestFit="1" customWidth="1"/>
    <col min="4" max="4" width="20.21875" bestFit="1" customWidth="1"/>
    <col min="5" max="5" width="17" bestFit="1" customWidth="1"/>
    <col min="6" max="6" width="16" bestFit="1" customWidth="1"/>
    <col min="7" max="7" width="28.109375" bestFit="1" customWidth="1"/>
    <col min="12" max="12" width="23.44140625" bestFit="1" customWidth="1"/>
    <col min="13" max="13" width="23.44140625" customWidth="1"/>
    <col min="14" max="14" width="13.88671875" bestFit="1" customWidth="1"/>
    <col min="15" max="15" width="11.77734375" bestFit="1" customWidth="1"/>
  </cols>
  <sheetData>
    <row r="1" spans="2:15" x14ac:dyDescent="0.3">
      <c r="B1" s="1" t="s">
        <v>13</v>
      </c>
      <c r="C1" s="1"/>
      <c r="D1" s="1"/>
      <c r="G1" s="1" t="s">
        <v>26</v>
      </c>
      <c r="H1" s="1"/>
      <c r="I1" s="1"/>
      <c r="L1" s="1" t="s">
        <v>40</v>
      </c>
      <c r="M1" s="1"/>
      <c r="N1" s="1"/>
      <c r="O1" s="1"/>
    </row>
    <row r="2" spans="2:15" x14ac:dyDescent="0.3">
      <c r="B2" s="1"/>
      <c r="C2" s="1"/>
      <c r="D2" s="1"/>
      <c r="G2" s="1"/>
      <c r="H2" s="1"/>
      <c r="I2" s="1"/>
      <c r="L2" s="1"/>
      <c r="M2" s="1"/>
      <c r="N2" s="1"/>
      <c r="O2" s="1"/>
    </row>
    <row r="3" spans="2:15" x14ac:dyDescent="0.3">
      <c r="B3" s="8" t="s">
        <v>10</v>
      </c>
      <c r="C3" s="8" t="s">
        <v>11</v>
      </c>
      <c r="D3" s="8" t="s">
        <v>12</v>
      </c>
      <c r="G3" s="8" t="s">
        <v>14</v>
      </c>
      <c r="H3" s="8" t="s">
        <v>15</v>
      </c>
      <c r="I3" s="8" t="s">
        <v>12</v>
      </c>
      <c r="L3" s="8" t="s">
        <v>36</v>
      </c>
      <c r="M3" s="8" t="s">
        <v>37</v>
      </c>
      <c r="N3" s="8" t="s">
        <v>38</v>
      </c>
      <c r="O3" s="8" t="s">
        <v>39</v>
      </c>
    </row>
    <row r="4" spans="2:15" x14ac:dyDescent="0.3">
      <c r="B4" s="5" t="s">
        <v>0</v>
      </c>
      <c r="C4" s="6">
        <v>180</v>
      </c>
      <c r="D4" s="4" t="str">
        <f>IF(C4&gt;=500,"HIGH VALUE","REGULAR")</f>
        <v>REGULAR</v>
      </c>
      <c r="G4" s="9" t="s">
        <v>16</v>
      </c>
      <c r="H4" s="2">
        <v>1399</v>
      </c>
      <c r="I4" s="2" t="str">
        <f>IF(H4&gt;1000,"STAR",IF(H4&gt;=700,"PRO",IF(H4&gt;=400,"RISING",IF(H4&lt;400,"Newbie"))))</f>
        <v>STAR</v>
      </c>
      <c r="L4" s="5" t="s">
        <v>0</v>
      </c>
      <c r="M4" s="5" t="s">
        <v>31</v>
      </c>
      <c r="N4" s="2" t="s">
        <v>27</v>
      </c>
      <c r="O4" s="2" t="str">
        <f>IF(AND(M4="delivered",N4="Prepaid"),"Eligeble","Not Eligible")</f>
        <v>Eligeble</v>
      </c>
    </row>
    <row r="5" spans="2:15" x14ac:dyDescent="0.3">
      <c r="B5" s="5" t="s">
        <v>9</v>
      </c>
      <c r="C5" s="6">
        <v>750</v>
      </c>
      <c r="D5" s="4" t="str">
        <f t="shared" ref="D5:D13" si="0">IF(C5&gt;=500,"HIGH VALUE","REGULAR")</f>
        <v>HIGH VALUE</v>
      </c>
      <c r="G5" s="9" t="s">
        <v>17</v>
      </c>
      <c r="H5" s="2">
        <v>799</v>
      </c>
      <c r="I5" s="2" t="str">
        <f t="shared" ref="I5:I13" si="1">IF(H5&gt;1000,"STAR",IF(H5&gt;=700,"PRO",IF(H5&gt;=400,"RISING",IF(H5&lt;400,"Newbie"))))</f>
        <v>PRO</v>
      </c>
      <c r="L5" s="5" t="s">
        <v>9</v>
      </c>
      <c r="M5" s="5" t="s">
        <v>33</v>
      </c>
      <c r="N5" s="2" t="s">
        <v>28</v>
      </c>
      <c r="O5" s="2" t="str">
        <f t="shared" ref="O5:O13" si="2">IF(AND(M5="delivered",N5="Prepaid"),"Eligeble","Not Eligible")</f>
        <v>Not Eligible</v>
      </c>
    </row>
    <row r="6" spans="2:15" x14ac:dyDescent="0.3">
      <c r="B6" s="5" t="s">
        <v>1</v>
      </c>
      <c r="C6" s="6">
        <v>220</v>
      </c>
      <c r="D6" s="4" t="str">
        <f t="shared" si="0"/>
        <v>REGULAR</v>
      </c>
      <c r="G6" s="9" t="s">
        <v>18</v>
      </c>
      <c r="H6" s="2">
        <v>905</v>
      </c>
      <c r="I6" s="2" t="str">
        <f t="shared" si="1"/>
        <v>PRO</v>
      </c>
      <c r="L6" s="5" t="s">
        <v>1</v>
      </c>
      <c r="M6" s="5" t="s">
        <v>31</v>
      </c>
      <c r="N6" s="2" t="s">
        <v>29</v>
      </c>
      <c r="O6" s="2" t="str">
        <f t="shared" si="2"/>
        <v>Eligeble</v>
      </c>
    </row>
    <row r="7" spans="2:15" x14ac:dyDescent="0.3">
      <c r="B7" s="5" t="s">
        <v>8</v>
      </c>
      <c r="C7" s="6">
        <v>120</v>
      </c>
      <c r="D7" s="4" t="str">
        <f t="shared" si="0"/>
        <v>REGULAR</v>
      </c>
      <c r="G7" s="9" t="s">
        <v>19</v>
      </c>
      <c r="H7" s="2">
        <v>1287</v>
      </c>
      <c r="I7" s="2" t="str">
        <f t="shared" si="1"/>
        <v>STAR</v>
      </c>
      <c r="L7" s="5" t="s">
        <v>8</v>
      </c>
      <c r="M7" s="5" t="s">
        <v>32</v>
      </c>
      <c r="N7" s="2" t="s">
        <v>30</v>
      </c>
      <c r="O7" s="2" t="str">
        <f t="shared" si="2"/>
        <v>Not Eligible</v>
      </c>
    </row>
    <row r="8" spans="2:15" x14ac:dyDescent="0.3">
      <c r="B8" s="5" t="s">
        <v>2</v>
      </c>
      <c r="C8" s="6">
        <v>90</v>
      </c>
      <c r="D8" s="4" t="str">
        <f t="shared" si="0"/>
        <v>REGULAR</v>
      </c>
      <c r="G8" s="9" t="s">
        <v>20</v>
      </c>
      <c r="H8" s="2">
        <v>389</v>
      </c>
      <c r="I8" s="2" t="str">
        <f t="shared" si="1"/>
        <v>Newbie</v>
      </c>
      <c r="L8" s="5" t="s">
        <v>2</v>
      </c>
      <c r="M8" s="5" t="s">
        <v>34</v>
      </c>
      <c r="N8" s="2" t="s">
        <v>28</v>
      </c>
      <c r="O8" s="2" t="str">
        <f t="shared" si="2"/>
        <v>Not Eligible</v>
      </c>
    </row>
    <row r="9" spans="2:15" x14ac:dyDescent="0.3">
      <c r="B9" s="5" t="s">
        <v>7</v>
      </c>
      <c r="C9" s="6">
        <v>510</v>
      </c>
      <c r="D9" s="4" t="str">
        <f t="shared" si="0"/>
        <v>HIGH VALUE</v>
      </c>
      <c r="G9" s="9" t="s">
        <v>21</v>
      </c>
      <c r="H9" s="2">
        <v>127</v>
      </c>
      <c r="I9" s="2" t="str">
        <f t="shared" si="1"/>
        <v>Newbie</v>
      </c>
      <c r="L9" s="5" t="s">
        <v>7</v>
      </c>
      <c r="M9" s="5" t="s">
        <v>32</v>
      </c>
      <c r="N9" s="2" t="s">
        <v>28</v>
      </c>
      <c r="O9" s="2" t="str">
        <f t="shared" si="2"/>
        <v>Not Eligible</v>
      </c>
    </row>
    <row r="10" spans="2:15" x14ac:dyDescent="0.3">
      <c r="B10" s="5" t="s">
        <v>3</v>
      </c>
      <c r="C10" s="6">
        <v>200</v>
      </c>
      <c r="D10" s="4" t="str">
        <f t="shared" si="0"/>
        <v>REGULAR</v>
      </c>
      <c r="G10" s="9" t="s">
        <v>22</v>
      </c>
      <c r="H10" s="2">
        <v>512</v>
      </c>
      <c r="I10" s="2" t="str">
        <f t="shared" si="1"/>
        <v>RISING</v>
      </c>
      <c r="L10" s="5" t="s">
        <v>3</v>
      </c>
      <c r="M10" s="5" t="s">
        <v>31</v>
      </c>
      <c r="N10" s="2" t="s">
        <v>29</v>
      </c>
      <c r="O10" s="2" t="str">
        <f t="shared" si="2"/>
        <v>Eligeble</v>
      </c>
    </row>
    <row r="11" spans="2:15" x14ac:dyDescent="0.3">
      <c r="B11" s="5" t="s">
        <v>6</v>
      </c>
      <c r="C11" s="6">
        <v>160</v>
      </c>
      <c r="D11" s="4" t="str">
        <f t="shared" si="0"/>
        <v>REGULAR</v>
      </c>
      <c r="G11" s="9" t="s">
        <v>23</v>
      </c>
      <c r="H11" s="2">
        <v>245</v>
      </c>
      <c r="I11" s="2" t="str">
        <f t="shared" si="1"/>
        <v>Newbie</v>
      </c>
      <c r="L11" s="5" t="s">
        <v>6</v>
      </c>
      <c r="M11" s="5" t="s">
        <v>32</v>
      </c>
      <c r="N11" s="2" t="s">
        <v>28</v>
      </c>
      <c r="O11" s="2" t="str">
        <f t="shared" si="2"/>
        <v>Not Eligible</v>
      </c>
    </row>
    <row r="12" spans="2:15" x14ac:dyDescent="0.3">
      <c r="B12" s="5" t="s">
        <v>4</v>
      </c>
      <c r="C12" s="6">
        <v>690</v>
      </c>
      <c r="D12" s="4" t="str">
        <f t="shared" si="0"/>
        <v>HIGH VALUE</v>
      </c>
      <c r="G12" s="9" t="s">
        <v>24</v>
      </c>
      <c r="H12" s="2">
        <v>678</v>
      </c>
      <c r="I12" s="2" t="str">
        <f t="shared" si="1"/>
        <v>RISING</v>
      </c>
      <c r="L12" s="5" t="s">
        <v>4</v>
      </c>
      <c r="M12" s="5" t="s">
        <v>35</v>
      </c>
      <c r="N12" s="2" t="s">
        <v>29</v>
      </c>
      <c r="O12" s="2" t="str">
        <f t="shared" si="2"/>
        <v>Not Eligible</v>
      </c>
    </row>
    <row r="13" spans="2:15" x14ac:dyDescent="0.3">
      <c r="B13" s="5" t="s">
        <v>5</v>
      </c>
      <c r="C13" s="6">
        <v>150</v>
      </c>
      <c r="D13" s="4" t="str">
        <f t="shared" si="0"/>
        <v>REGULAR</v>
      </c>
      <c r="G13" s="9" t="s">
        <v>25</v>
      </c>
      <c r="H13" s="2">
        <v>1123</v>
      </c>
      <c r="I13" s="2" t="str">
        <f t="shared" si="1"/>
        <v>STAR</v>
      </c>
      <c r="L13" s="5" t="s">
        <v>5</v>
      </c>
      <c r="M13" s="5" t="s">
        <v>31</v>
      </c>
      <c r="N13" s="2" t="s">
        <v>29</v>
      </c>
      <c r="O13" s="2" t="str">
        <f t="shared" si="2"/>
        <v>Eligeble</v>
      </c>
    </row>
    <row r="15" spans="2:15" x14ac:dyDescent="0.3">
      <c r="G15" s="7"/>
    </row>
    <row r="17" spans="2:14" x14ac:dyDescent="0.3">
      <c r="G17" s="7"/>
    </row>
    <row r="19" spans="2:14" x14ac:dyDescent="0.3">
      <c r="G19" s="7"/>
    </row>
    <row r="21" spans="2:14" x14ac:dyDescent="0.3">
      <c r="B21" s="1" t="s">
        <v>70</v>
      </c>
      <c r="C21" s="1"/>
      <c r="D21" s="1"/>
      <c r="E21" s="1"/>
      <c r="F21" s="1"/>
      <c r="G21" s="7"/>
      <c r="L21" s="1" t="s">
        <v>78</v>
      </c>
      <c r="M21" s="1"/>
      <c r="N21" s="1"/>
    </row>
    <row r="22" spans="2:14" x14ac:dyDescent="0.3">
      <c r="B22" s="1"/>
      <c r="C22" s="1"/>
      <c r="D22" s="1"/>
      <c r="E22" s="1"/>
      <c r="F22" s="1"/>
      <c r="L22" s="1"/>
      <c r="M22" s="1"/>
      <c r="N22" s="1"/>
    </row>
    <row r="23" spans="2:14" x14ac:dyDescent="0.3">
      <c r="B23" s="10" t="s">
        <v>65</v>
      </c>
      <c r="C23" s="10" t="s">
        <v>66</v>
      </c>
      <c r="D23" s="10" t="s">
        <v>67</v>
      </c>
      <c r="E23" s="10" t="s">
        <v>68</v>
      </c>
      <c r="F23" s="10" t="s">
        <v>69</v>
      </c>
      <c r="L23" s="11" t="s">
        <v>71</v>
      </c>
      <c r="M23" s="11" t="s">
        <v>72</v>
      </c>
      <c r="N23" s="11" t="s">
        <v>77</v>
      </c>
    </row>
    <row r="24" spans="2:14" x14ac:dyDescent="0.3">
      <c r="B24" s="3" t="s">
        <v>41</v>
      </c>
      <c r="C24" s="3" t="s">
        <v>51</v>
      </c>
      <c r="D24" s="3" t="s">
        <v>61</v>
      </c>
      <c r="E24" s="3" t="s">
        <v>62</v>
      </c>
      <c r="F24" s="2" t="str">
        <f>IF(OR(D24="Downloaded",E24="Favourite"),"Quick Acces","Not Accesable")</f>
        <v>Quick Acces</v>
      </c>
      <c r="L24" s="2" t="s">
        <v>73</v>
      </c>
      <c r="M24" s="2" t="s">
        <v>74</v>
      </c>
      <c r="N24" s="2" t="str">
        <f>IF(_xlfn.XOR(L24="New",M24="cash"),"Suspicious","Safe")</f>
        <v>Safe</v>
      </c>
    </row>
    <row r="25" spans="2:14" x14ac:dyDescent="0.3">
      <c r="B25" s="3" t="s">
        <v>50</v>
      </c>
      <c r="C25" s="3" t="s">
        <v>59</v>
      </c>
      <c r="D25" s="3" t="s">
        <v>63</v>
      </c>
      <c r="E25" s="3" t="s">
        <v>64</v>
      </c>
      <c r="F25" s="2" t="str">
        <f t="shared" ref="F25:F33" si="3">IF(OR(D25="Downloaded",E25="Favourite"),"Quick Acces","Not Accesable")</f>
        <v>Not Accesable</v>
      </c>
      <c r="L25" s="2" t="s">
        <v>76</v>
      </c>
      <c r="M25" s="2" t="s">
        <v>75</v>
      </c>
      <c r="N25" s="2" t="str">
        <f t="shared" ref="N25:N33" si="4">IF(_xlfn.XOR(L25="New",M25="cash"),"Suspicious","Safe")</f>
        <v>Safe</v>
      </c>
    </row>
    <row r="26" spans="2:14" x14ac:dyDescent="0.3">
      <c r="B26" s="3" t="s">
        <v>42</v>
      </c>
      <c r="C26" s="3" t="s">
        <v>52</v>
      </c>
      <c r="D26" s="3" t="s">
        <v>61</v>
      </c>
      <c r="E26" s="3" t="s">
        <v>62</v>
      </c>
      <c r="F26" s="2" t="str">
        <f t="shared" si="3"/>
        <v>Quick Acces</v>
      </c>
      <c r="L26" s="2" t="s">
        <v>76</v>
      </c>
      <c r="M26" s="2" t="s">
        <v>74</v>
      </c>
      <c r="N26" s="2" t="str">
        <f t="shared" si="4"/>
        <v>Suspicious</v>
      </c>
    </row>
    <row r="27" spans="2:14" x14ac:dyDescent="0.3">
      <c r="B27" s="3" t="s">
        <v>49</v>
      </c>
      <c r="C27" s="3" t="s">
        <v>58</v>
      </c>
      <c r="D27" s="3" t="s">
        <v>63</v>
      </c>
      <c r="E27" s="3" t="s">
        <v>64</v>
      </c>
      <c r="F27" s="2" t="str">
        <f t="shared" si="3"/>
        <v>Not Accesable</v>
      </c>
      <c r="L27" s="2" t="s">
        <v>73</v>
      </c>
      <c r="M27" s="2" t="s">
        <v>75</v>
      </c>
      <c r="N27" s="2" t="str">
        <f t="shared" si="4"/>
        <v>Suspicious</v>
      </c>
    </row>
    <row r="28" spans="2:14" x14ac:dyDescent="0.3">
      <c r="B28" s="3" t="s">
        <v>43</v>
      </c>
      <c r="C28" s="3" t="s">
        <v>53</v>
      </c>
      <c r="D28" s="3" t="s">
        <v>61</v>
      </c>
      <c r="E28" s="3" t="s">
        <v>64</v>
      </c>
      <c r="F28" s="2" t="str">
        <f t="shared" si="3"/>
        <v>Quick Acces</v>
      </c>
      <c r="L28" s="2" t="s">
        <v>76</v>
      </c>
      <c r="M28" s="2" t="s">
        <v>75</v>
      </c>
      <c r="N28" s="2" t="str">
        <f t="shared" si="4"/>
        <v>Safe</v>
      </c>
    </row>
    <row r="29" spans="2:14" x14ac:dyDescent="0.3">
      <c r="B29" s="3" t="s">
        <v>48</v>
      </c>
      <c r="C29" s="3" t="s">
        <v>57</v>
      </c>
      <c r="D29" s="3" t="s">
        <v>63</v>
      </c>
      <c r="E29" s="3" t="s">
        <v>62</v>
      </c>
      <c r="F29" s="2" t="str">
        <f t="shared" si="3"/>
        <v>Quick Acces</v>
      </c>
      <c r="L29" s="2" t="s">
        <v>73</v>
      </c>
      <c r="M29" s="2" t="s">
        <v>75</v>
      </c>
      <c r="N29" s="2" t="str">
        <f t="shared" si="4"/>
        <v>Suspicious</v>
      </c>
    </row>
    <row r="30" spans="2:14" x14ac:dyDescent="0.3">
      <c r="B30" s="3" t="s">
        <v>44</v>
      </c>
      <c r="C30" s="3" t="s">
        <v>54</v>
      </c>
      <c r="D30" s="3" t="s">
        <v>61</v>
      </c>
      <c r="E30" s="3" t="s">
        <v>64</v>
      </c>
      <c r="F30" s="2" t="str">
        <f t="shared" si="3"/>
        <v>Quick Acces</v>
      </c>
      <c r="L30" s="2" t="s">
        <v>76</v>
      </c>
      <c r="M30" s="2" t="s">
        <v>74</v>
      </c>
      <c r="N30" s="2" t="str">
        <f t="shared" si="4"/>
        <v>Suspicious</v>
      </c>
    </row>
    <row r="31" spans="2:14" x14ac:dyDescent="0.3">
      <c r="B31" s="3" t="s">
        <v>47</v>
      </c>
      <c r="C31" s="3" t="s">
        <v>56</v>
      </c>
      <c r="D31" s="3" t="s">
        <v>63</v>
      </c>
      <c r="E31" s="3" t="s">
        <v>64</v>
      </c>
      <c r="F31" s="2" t="str">
        <f t="shared" si="3"/>
        <v>Not Accesable</v>
      </c>
      <c r="L31" s="2" t="s">
        <v>76</v>
      </c>
      <c r="M31" s="2" t="s">
        <v>75</v>
      </c>
      <c r="N31" s="2" t="str">
        <f t="shared" si="4"/>
        <v>Safe</v>
      </c>
    </row>
    <row r="32" spans="2:14" x14ac:dyDescent="0.3">
      <c r="B32" s="3" t="s">
        <v>45</v>
      </c>
      <c r="C32" s="3" t="s">
        <v>55</v>
      </c>
      <c r="D32" s="3" t="s">
        <v>61</v>
      </c>
      <c r="E32" s="3" t="s">
        <v>62</v>
      </c>
      <c r="F32" s="2" t="str">
        <f t="shared" si="3"/>
        <v>Quick Acces</v>
      </c>
      <c r="L32" s="2" t="s">
        <v>73</v>
      </c>
      <c r="M32" s="2" t="s">
        <v>74</v>
      </c>
      <c r="N32" s="2" t="str">
        <f t="shared" si="4"/>
        <v>Safe</v>
      </c>
    </row>
    <row r="33" spans="2:14" x14ac:dyDescent="0.3">
      <c r="B33" s="3" t="s">
        <v>46</v>
      </c>
      <c r="C33" s="3" t="s">
        <v>60</v>
      </c>
      <c r="D33" s="3" t="s">
        <v>63</v>
      </c>
      <c r="E33" s="3" t="s">
        <v>62</v>
      </c>
      <c r="F33" s="2" t="str">
        <f t="shared" si="3"/>
        <v>Quick Acces</v>
      </c>
      <c r="L33" s="2" t="s">
        <v>73</v>
      </c>
      <c r="M33" s="2" t="s">
        <v>75</v>
      </c>
      <c r="N33" s="2" t="str">
        <f t="shared" si="4"/>
        <v>Suspicious</v>
      </c>
    </row>
  </sheetData>
  <mergeCells count="5">
    <mergeCell ref="B1:D2"/>
    <mergeCell ref="G1:I2"/>
    <mergeCell ref="L1:O2"/>
    <mergeCell ref="B21:F22"/>
    <mergeCell ref="L21:N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2026-08-15T08:56:20Z</dcterms:created>
  <dcterms:modified xsi:type="dcterms:W3CDTF">2026-08-15T10:50:09Z</dcterms:modified>
</cp:coreProperties>
</file>